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t\Downloads\"/>
    </mc:Choice>
  </mc:AlternateContent>
  <xr:revisionPtr revIDLastSave="0" documentId="13_ncr:1_{D6CF4033-7DD4-4861-8DA3-E41347384F64}" xr6:coauthVersionLast="47" xr6:coauthVersionMax="47" xr10:uidLastSave="{00000000-0000-0000-0000-000000000000}"/>
  <bookViews>
    <workbookView xWindow="-108" yWindow="-108" windowWidth="23256" windowHeight="13896" xr2:uid="{88A6E645-5815-4DB4-8209-F7FB210E2D4B}"/>
  </bookViews>
  <sheets>
    <sheet name="Excel Assignmen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2" i="1" l="1"/>
  <c r="C112" i="1"/>
  <c r="D112" i="1"/>
  <c r="E112" i="1"/>
  <c r="F112" i="1"/>
  <c r="G112" i="1"/>
  <c r="J112" i="1"/>
  <c r="B111" i="1"/>
  <c r="C111" i="1"/>
  <c r="D111" i="1"/>
  <c r="E111" i="1"/>
  <c r="F111" i="1"/>
  <c r="G111" i="1"/>
  <c r="J111" i="1"/>
  <c r="B110" i="1"/>
  <c r="C110" i="1"/>
  <c r="D110" i="1"/>
  <c r="E110" i="1"/>
  <c r="F110" i="1"/>
  <c r="G110" i="1"/>
  <c r="J110" i="1"/>
  <c r="A112" i="1"/>
  <c r="A111" i="1"/>
  <c r="A110" i="1"/>
  <c r="B109" i="1"/>
  <c r="C109" i="1"/>
  <c r="D109" i="1"/>
  <c r="E109" i="1"/>
  <c r="F109" i="1"/>
  <c r="G109" i="1"/>
  <c r="J109" i="1"/>
  <c r="B108" i="1"/>
  <c r="C108" i="1"/>
  <c r="D108" i="1"/>
  <c r="E108" i="1"/>
  <c r="F108" i="1"/>
  <c r="G108" i="1"/>
  <c r="J108" i="1"/>
  <c r="B107" i="1"/>
  <c r="C107" i="1"/>
  <c r="D107" i="1"/>
  <c r="E107" i="1"/>
  <c r="F107" i="1"/>
  <c r="G107" i="1"/>
  <c r="J107" i="1"/>
  <c r="A109" i="1"/>
  <c r="A108" i="1"/>
  <c r="A107" i="1"/>
  <c r="B106" i="1" l="1"/>
  <c r="C106" i="1"/>
  <c r="D106" i="1"/>
  <c r="E106" i="1"/>
  <c r="F106" i="1"/>
  <c r="G106" i="1"/>
  <c r="J106" i="1"/>
  <c r="B105" i="1"/>
  <c r="C105" i="1"/>
  <c r="D105" i="1"/>
  <c r="E105" i="1"/>
  <c r="F105" i="1"/>
  <c r="G105" i="1"/>
  <c r="J105" i="1"/>
  <c r="B104" i="1"/>
  <c r="C104" i="1"/>
  <c r="D104" i="1"/>
  <c r="E104" i="1"/>
  <c r="F104" i="1"/>
  <c r="G104" i="1"/>
  <c r="J104" i="1"/>
  <c r="B103" i="1"/>
  <c r="C103" i="1"/>
  <c r="D103" i="1"/>
  <c r="E103" i="1"/>
  <c r="F103" i="1"/>
  <c r="G103" i="1"/>
  <c r="J103" i="1"/>
  <c r="B102" i="1"/>
  <c r="C102" i="1"/>
  <c r="D102" i="1"/>
  <c r="E102" i="1"/>
  <c r="F102" i="1"/>
  <c r="G102" i="1"/>
  <c r="J102" i="1"/>
  <c r="A106" i="1"/>
  <c r="A105" i="1"/>
  <c r="A104" i="1"/>
  <c r="A103" i="1"/>
  <c r="A102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86" i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86" i="1"/>
  <c r="I86" i="1" l="1"/>
  <c r="H107" i="1"/>
  <c r="H109" i="1"/>
  <c r="H112" i="1"/>
  <c r="H110" i="1"/>
  <c r="H108" i="1"/>
  <c r="H111" i="1"/>
  <c r="K112" i="1"/>
  <c r="K107" i="1"/>
  <c r="K109" i="1"/>
  <c r="K110" i="1"/>
  <c r="K111" i="1"/>
  <c r="K108" i="1"/>
  <c r="I104" i="1"/>
  <c r="K102" i="1"/>
  <c r="I102" i="1"/>
  <c r="I103" i="1"/>
  <c r="H102" i="1"/>
  <c r="K105" i="1"/>
  <c r="I106" i="1"/>
  <c r="H106" i="1"/>
  <c r="K104" i="1"/>
  <c r="I105" i="1"/>
  <c r="H105" i="1"/>
  <c r="K106" i="1"/>
  <c r="K103" i="1"/>
  <c r="H104" i="1"/>
  <c r="H103" i="1"/>
  <c r="I107" i="1" l="1"/>
  <c r="I108" i="1"/>
  <c r="I109" i="1"/>
  <c r="I110" i="1"/>
  <c r="I111" i="1"/>
  <c r="I112" i="1"/>
</calcChain>
</file>

<file path=xl/sharedStrings.xml><?xml version="1.0" encoding="utf-8"?>
<sst xmlns="http://schemas.openxmlformats.org/spreadsheetml/2006/main" count="78" uniqueCount="38">
  <si>
    <t>year</t>
  </si>
  <si>
    <t>population</t>
  </si>
  <si>
    <t>labor_force</t>
  </si>
  <si>
    <t>population_percent</t>
  </si>
  <si>
    <t>employed_total</t>
  </si>
  <si>
    <t>employed_percent</t>
  </si>
  <si>
    <t>agrictulture_ratio</t>
  </si>
  <si>
    <t>nonagriculture_ratio</t>
  </si>
  <si>
    <t>unemployed</t>
  </si>
  <si>
    <t>unemployed_percent</t>
  </si>
  <si>
    <t>not_in_labor</t>
  </si>
  <si>
    <t>Average</t>
  </si>
  <si>
    <t>Median</t>
  </si>
  <si>
    <t>Std devaiation</t>
  </si>
  <si>
    <t>Min</t>
  </si>
  <si>
    <t>Max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</si>
  <si>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</si>
  <si>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</si>
  <si>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</si>
  <si>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</si>
  <si>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</si>
  <si>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</si>
  <si>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</si>
  <si>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</si>
  <si>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</si>
  <si>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</si>
  <si>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</si>
  <si>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</si>
  <si>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Population</t>
  </si>
  <si>
    <t>Labour Force</t>
  </si>
  <si>
    <t>Employed Total</t>
  </si>
  <si>
    <t>Unemployed</t>
  </si>
  <si>
    <t>Quartile 1</t>
  </si>
  <si>
    <t>Quartile 2</t>
  </si>
  <si>
    <t>Quartile 3</t>
  </si>
  <si>
    <t>Percentile 10</t>
  </si>
  <si>
    <t>Percentile 20</t>
  </si>
  <si>
    <t>Percentile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</si>
</sst>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Employed vs Unemployed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'Excel Assignment'!$E$1</c:f>
              <c:strCache>
                <c:ptCount val="1"/>
                <c:pt idx="0">
                  <c:v>employed_total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'Excel Assignment'!$E$2:$E$101</c:f>
              <c:numCache>
                <c:formatCode>General</c:formatCode>
                <c:ptCount val="100"/>
                <c:pt idx="0">
                  <c:v>161346</c:v>
                </c:pt>
                <c:pt idx="1">
                  <c:v>161037</c:v>
                </c:pt>
                <c:pt idx="2">
                  <c:v>158291</c:v>
                </c:pt>
                <c:pt idx="3">
                  <c:v>152581</c:v>
                </c:pt>
                <c:pt idx="4">
                  <c:v>147795</c:v>
                </c:pt>
                <c:pt idx="5">
                  <c:v>157538</c:v>
                </c:pt>
                <c:pt idx="6">
                  <c:v>155761</c:v>
                </c:pt>
                <c:pt idx="7">
                  <c:v>153337</c:v>
                </c:pt>
                <c:pt idx="8">
                  <c:v>151436</c:v>
                </c:pt>
                <c:pt idx="9">
                  <c:v>148834</c:v>
                </c:pt>
                <c:pt idx="10">
                  <c:v>146305</c:v>
                </c:pt>
                <c:pt idx="11">
                  <c:v>143929</c:v>
                </c:pt>
                <c:pt idx="12">
                  <c:v>142469</c:v>
                </c:pt>
                <c:pt idx="13">
                  <c:v>139869</c:v>
                </c:pt>
                <c:pt idx="14">
                  <c:v>139064</c:v>
                </c:pt>
                <c:pt idx="15">
                  <c:v>139877</c:v>
                </c:pt>
                <c:pt idx="16">
                  <c:v>145362</c:v>
                </c:pt>
                <c:pt idx="17">
                  <c:v>146047</c:v>
                </c:pt>
                <c:pt idx="18">
                  <c:v>144427</c:v>
                </c:pt>
                <c:pt idx="19">
                  <c:v>141730</c:v>
                </c:pt>
                <c:pt idx="20">
                  <c:v>139252</c:v>
                </c:pt>
                <c:pt idx="21">
                  <c:v>137736</c:v>
                </c:pt>
                <c:pt idx="22">
                  <c:v>136485</c:v>
                </c:pt>
                <c:pt idx="23">
                  <c:v>136933</c:v>
                </c:pt>
                <c:pt idx="24">
                  <c:v>136891</c:v>
                </c:pt>
                <c:pt idx="25">
                  <c:v>133488</c:v>
                </c:pt>
                <c:pt idx="26">
                  <c:v>131463</c:v>
                </c:pt>
                <c:pt idx="27">
                  <c:v>129558</c:v>
                </c:pt>
                <c:pt idx="28">
                  <c:v>126708</c:v>
                </c:pt>
                <c:pt idx="29">
                  <c:v>124900</c:v>
                </c:pt>
                <c:pt idx="30">
                  <c:v>123060</c:v>
                </c:pt>
                <c:pt idx="31">
                  <c:v>120259</c:v>
                </c:pt>
                <c:pt idx="32">
                  <c:v>118492</c:v>
                </c:pt>
                <c:pt idx="33">
                  <c:v>117718</c:v>
                </c:pt>
                <c:pt idx="34">
                  <c:v>118793</c:v>
                </c:pt>
                <c:pt idx="35">
                  <c:v>117342</c:v>
                </c:pt>
                <c:pt idx="36">
                  <c:v>114968</c:v>
                </c:pt>
                <c:pt idx="37">
                  <c:v>112440</c:v>
                </c:pt>
                <c:pt idx="38">
                  <c:v>109597</c:v>
                </c:pt>
                <c:pt idx="39">
                  <c:v>107150</c:v>
                </c:pt>
                <c:pt idx="40">
                  <c:v>105005</c:v>
                </c:pt>
                <c:pt idx="41">
                  <c:v>100834</c:v>
                </c:pt>
                <c:pt idx="42">
                  <c:v>99526</c:v>
                </c:pt>
                <c:pt idx="43">
                  <c:v>100397</c:v>
                </c:pt>
                <c:pt idx="44">
                  <c:v>99302</c:v>
                </c:pt>
                <c:pt idx="45">
                  <c:v>98824</c:v>
                </c:pt>
                <c:pt idx="46">
                  <c:v>96048</c:v>
                </c:pt>
                <c:pt idx="47">
                  <c:v>92017</c:v>
                </c:pt>
                <c:pt idx="48">
                  <c:v>88752</c:v>
                </c:pt>
                <c:pt idx="49">
                  <c:v>85846</c:v>
                </c:pt>
                <c:pt idx="50">
                  <c:v>86794</c:v>
                </c:pt>
                <c:pt idx="51">
                  <c:v>85064</c:v>
                </c:pt>
                <c:pt idx="52">
                  <c:v>82153</c:v>
                </c:pt>
                <c:pt idx="53">
                  <c:v>79367</c:v>
                </c:pt>
                <c:pt idx="54">
                  <c:v>78678</c:v>
                </c:pt>
                <c:pt idx="55">
                  <c:v>77902</c:v>
                </c:pt>
                <c:pt idx="56">
                  <c:v>75920</c:v>
                </c:pt>
                <c:pt idx="57">
                  <c:v>74372</c:v>
                </c:pt>
                <c:pt idx="58">
                  <c:v>72895</c:v>
                </c:pt>
                <c:pt idx="59">
                  <c:v>71088</c:v>
                </c:pt>
                <c:pt idx="60">
                  <c:v>69305</c:v>
                </c:pt>
                <c:pt idx="61">
                  <c:v>67762</c:v>
                </c:pt>
                <c:pt idx="62">
                  <c:v>66702</c:v>
                </c:pt>
                <c:pt idx="63">
                  <c:v>65746</c:v>
                </c:pt>
                <c:pt idx="64">
                  <c:v>65778</c:v>
                </c:pt>
                <c:pt idx="65">
                  <c:v>64630</c:v>
                </c:pt>
                <c:pt idx="66">
                  <c:v>63036</c:v>
                </c:pt>
                <c:pt idx="67">
                  <c:v>64071</c:v>
                </c:pt>
                <c:pt idx="68">
                  <c:v>63799</c:v>
                </c:pt>
                <c:pt idx="69">
                  <c:v>62170</c:v>
                </c:pt>
                <c:pt idx="70">
                  <c:v>60109</c:v>
                </c:pt>
                <c:pt idx="71">
                  <c:v>61179</c:v>
                </c:pt>
                <c:pt idx="72">
                  <c:v>60250</c:v>
                </c:pt>
                <c:pt idx="73">
                  <c:v>59961</c:v>
                </c:pt>
                <c:pt idx="74">
                  <c:v>58918</c:v>
                </c:pt>
                <c:pt idx="75">
                  <c:v>57651</c:v>
                </c:pt>
                <c:pt idx="76">
                  <c:v>58343</c:v>
                </c:pt>
                <c:pt idx="77">
                  <c:v>57812</c:v>
                </c:pt>
                <c:pt idx="78">
                  <c:v>57038</c:v>
                </c:pt>
                <c:pt idx="79">
                  <c:v>52820</c:v>
                </c:pt>
                <c:pt idx="80">
                  <c:v>53960</c:v>
                </c:pt>
                <c:pt idx="81">
                  <c:v>54470</c:v>
                </c:pt>
                <c:pt idx="82">
                  <c:v>53750</c:v>
                </c:pt>
                <c:pt idx="83">
                  <c:v>50350</c:v>
                </c:pt>
                <c:pt idx="84">
                  <c:v>49853</c:v>
                </c:pt>
                <c:pt idx="85">
                  <c:v>49753</c:v>
                </c:pt>
                <c:pt idx="86">
                  <c:v>49372</c:v>
                </c:pt>
                <c:pt idx="87">
                  <c:v>48631</c:v>
                </c:pt>
                <c:pt idx="88">
                  <c:v>48357</c:v>
                </c:pt>
                <c:pt idx="89">
                  <c:v>48167</c:v>
                </c:pt>
                <c:pt idx="90">
                  <c:v>47932</c:v>
                </c:pt>
                <c:pt idx="91">
                  <c:v>47631</c:v>
                </c:pt>
                <c:pt idx="92">
                  <c:v>47328</c:v>
                </c:pt>
                <c:pt idx="93">
                  <c:v>46341</c:v>
                </c:pt>
                <c:pt idx="94">
                  <c:v>46723</c:v>
                </c:pt>
                <c:pt idx="95">
                  <c:v>46237</c:v>
                </c:pt>
                <c:pt idx="96">
                  <c:v>45872</c:v>
                </c:pt>
                <c:pt idx="97">
                  <c:v>45329</c:v>
                </c:pt>
                <c:pt idx="98">
                  <c:v>44963</c:v>
                </c:pt>
                <c:pt idx="99">
                  <c:v>44763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C-40C7-A39A-38BF4D0F8823}"/>
            </c:ext>
          </c:extLst>
        </c:ser>
        <c:ser>
          <c:idx val="4"/>
          <c:order val="4"/>
          <c:tx>
            <c:strRef>
              <c:f>'Excel Assignment'!$I$1</c:f>
              <c:strCache>
                <c:ptCount val="1"/>
                <c:pt idx="0">
                  <c:v>unemployed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'Excel Assignment'!$I$2:$I$101</c:f>
              <c:numCache>
                <c:formatCode>General</c:formatCode>
                <c:ptCount val="100"/>
                <c:pt idx="0">
                  <c:v>6761</c:v>
                </c:pt>
                <c:pt idx="1">
                  <c:v>6080</c:v>
                </c:pt>
                <c:pt idx="2">
                  <c:v>5996</c:v>
                </c:pt>
                <c:pt idx="3">
                  <c:v>8623</c:v>
                </c:pt>
                <c:pt idx="4">
                  <c:v>12947</c:v>
                </c:pt>
                <c:pt idx="5">
                  <c:v>6001</c:v>
                </c:pt>
                <c:pt idx="6">
                  <c:v>6314</c:v>
                </c:pt>
                <c:pt idx="7">
                  <c:v>6982</c:v>
                </c:pt>
                <c:pt idx="8">
                  <c:v>7751</c:v>
                </c:pt>
                <c:pt idx="9">
                  <c:v>8296</c:v>
                </c:pt>
                <c:pt idx="10">
                  <c:v>9617</c:v>
                </c:pt>
                <c:pt idx="11">
                  <c:v>11460</c:v>
                </c:pt>
                <c:pt idx="12">
                  <c:v>12506</c:v>
                </c:pt>
                <c:pt idx="13">
                  <c:v>13747</c:v>
                </c:pt>
                <c:pt idx="14">
                  <c:v>14825</c:v>
                </c:pt>
                <c:pt idx="15">
                  <c:v>14265</c:v>
                </c:pt>
                <c:pt idx="16">
                  <c:v>8924</c:v>
                </c:pt>
                <c:pt idx="17">
                  <c:v>7078</c:v>
                </c:pt>
                <c:pt idx="18">
                  <c:v>7001</c:v>
                </c:pt>
                <c:pt idx="19">
                  <c:v>7591</c:v>
                </c:pt>
                <c:pt idx="20">
                  <c:v>8149</c:v>
                </c:pt>
                <c:pt idx="21">
                  <c:v>8774</c:v>
                </c:pt>
                <c:pt idx="22">
                  <c:v>8378</c:v>
                </c:pt>
                <c:pt idx="23">
                  <c:v>6801</c:v>
                </c:pt>
                <c:pt idx="24">
                  <c:v>5692</c:v>
                </c:pt>
                <c:pt idx="25">
                  <c:v>5880</c:v>
                </c:pt>
                <c:pt idx="26">
                  <c:v>6210</c:v>
                </c:pt>
                <c:pt idx="27">
                  <c:v>6739</c:v>
                </c:pt>
                <c:pt idx="28">
                  <c:v>7236</c:v>
                </c:pt>
                <c:pt idx="29">
                  <c:v>7404</c:v>
                </c:pt>
                <c:pt idx="30">
                  <c:v>7996</c:v>
                </c:pt>
                <c:pt idx="31">
                  <c:v>8940</c:v>
                </c:pt>
                <c:pt idx="32">
                  <c:v>9613</c:v>
                </c:pt>
                <c:pt idx="33">
                  <c:v>8628</c:v>
                </c:pt>
                <c:pt idx="34">
                  <c:v>7047</c:v>
                </c:pt>
                <c:pt idx="35">
                  <c:v>6528</c:v>
                </c:pt>
                <c:pt idx="36">
                  <c:v>6701</c:v>
                </c:pt>
                <c:pt idx="37">
                  <c:v>7425</c:v>
                </c:pt>
                <c:pt idx="38">
                  <c:v>8237</c:v>
                </c:pt>
                <c:pt idx="39">
                  <c:v>8312</c:v>
                </c:pt>
                <c:pt idx="40">
                  <c:v>8539</c:v>
                </c:pt>
                <c:pt idx="41">
                  <c:v>10717</c:v>
                </c:pt>
                <c:pt idx="42">
                  <c:v>10678</c:v>
                </c:pt>
                <c:pt idx="43">
                  <c:v>8273</c:v>
                </c:pt>
                <c:pt idx="44">
                  <c:v>7637</c:v>
                </c:pt>
                <c:pt idx="45">
                  <c:v>6137</c:v>
                </c:pt>
                <c:pt idx="46">
                  <c:v>6202</c:v>
                </c:pt>
                <c:pt idx="47">
                  <c:v>6991</c:v>
                </c:pt>
                <c:pt idx="48">
                  <c:v>7406</c:v>
                </c:pt>
                <c:pt idx="49">
                  <c:v>7929</c:v>
                </c:pt>
                <c:pt idx="50">
                  <c:v>5156</c:v>
                </c:pt>
                <c:pt idx="51">
                  <c:v>4365</c:v>
                </c:pt>
                <c:pt idx="52">
                  <c:v>4882</c:v>
                </c:pt>
                <c:pt idx="53">
                  <c:v>5016</c:v>
                </c:pt>
                <c:pt idx="54">
                  <c:v>4093</c:v>
                </c:pt>
                <c:pt idx="55">
                  <c:v>2832</c:v>
                </c:pt>
                <c:pt idx="56">
                  <c:v>2817</c:v>
                </c:pt>
                <c:pt idx="57">
                  <c:v>2975</c:v>
                </c:pt>
                <c:pt idx="58">
                  <c:v>2875</c:v>
                </c:pt>
                <c:pt idx="59">
                  <c:v>3366</c:v>
                </c:pt>
                <c:pt idx="60">
                  <c:v>3786</c:v>
                </c:pt>
                <c:pt idx="61">
                  <c:v>4070</c:v>
                </c:pt>
                <c:pt idx="62">
                  <c:v>3911</c:v>
                </c:pt>
                <c:pt idx="63">
                  <c:v>4714</c:v>
                </c:pt>
                <c:pt idx="64">
                  <c:v>3852</c:v>
                </c:pt>
                <c:pt idx="65">
                  <c:v>3740</c:v>
                </c:pt>
                <c:pt idx="66">
                  <c:v>4602</c:v>
                </c:pt>
                <c:pt idx="67">
                  <c:v>2859</c:v>
                </c:pt>
                <c:pt idx="68">
                  <c:v>2750</c:v>
                </c:pt>
                <c:pt idx="69">
                  <c:v>2852</c:v>
                </c:pt>
                <c:pt idx="70">
                  <c:v>3532</c:v>
                </c:pt>
                <c:pt idx="71">
                  <c:v>1834</c:v>
                </c:pt>
                <c:pt idx="72">
                  <c:v>1883</c:v>
                </c:pt>
                <c:pt idx="73">
                  <c:v>2055</c:v>
                </c:pt>
                <c:pt idx="74">
                  <c:v>3288</c:v>
                </c:pt>
                <c:pt idx="75">
                  <c:v>3637</c:v>
                </c:pt>
                <c:pt idx="76">
                  <c:v>2276</c:v>
                </c:pt>
                <c:pt idx="77">
                  <c:v>2356</c:v>
                </c:pt>
                <c:pt idx="78">
                  <c:v>2311</c:v>
                </c:pt>
                <c:pt idx="79">
                  <c:v>1040</c:v>
                </c:pt>
                <c:pt idx="80">
                  <c:v>670</c:v>
                </c:pt>
                <c:pt idx="81">
                  <c:v>1070</c:v>
                </c:pt>
                <c:pt idx="82">
                  <c:v>2660</c:v>
                </c:pt>
                <c:pt idx="83">
                  <c:v>5560</c:v>
                </c:pt>
                <c:pt idx="84">
                  <c:v>9236</c:v>
                </c:pt>
                <c:pt idx="85">
                  <c:v>9258</c:v>
                </c:pt>
                <c:pt idx="86">
                  <c:v>9346</c:v>
                </c:pt>
                <c:pt idx="87">
                  <c:v>9386</c:v>
                </c:pt>
                <c:pt idx="88">
                  <c:v>9436</c:v>
                </c:pt>
                <c:pt idx="89">
                  <c:v>9578</c:v>
                </c:pt>
                <c:pt idx="90">
                  <c:v>9671</c:v>
                </c:pt>
                <c:pt idx="91">
                  <c:v>9731</c:v>
                </c:pt>
                <c:pt idx="92">
                  <c:v>9837</c:v>
                </c:pt>
                <c:pt idx="93">
                  <c:v>9913</c:v>
                </c:pt>
                <c:pt idx="94">
                  <c:v>10359</c:v>
                </c:pt>
                <c:pt idx="95">
                  <c:v>11957</c:v>
                </c:pt>
                <c:pt idx="96">
                  <c:v>1283</c:v>
                </c:pt>
                <c:pt idx="97">
                  <c:v>13468</c:v>
                </c:pt>
                <c:pt idx="98">
                  <c:v>14853</c:v>
                </c:pt>
                <c:pt idx="99">
                  <c:v>15794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DC-40C7-A39A-38BF4D0F8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739263"/>
        <c:axId val="189073782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'Excel Assignment'!$F$1</c15:sqref>
                        </c15:formulaRef>
                      </c:ext>
                    </c:extLst>
                    <c:strCache>
                      <c:ptCount val="1"/>
                      <c:pt idx="0">
                        <c:v>employed_percent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'Excel Assignment'!$F$2:$F$101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60.1</c:v>
                      </c:pt>
                      <c:pt idx="1">
                        <c:v>60.3</c:v>
                      </c:pt>
                      <c:pt idx="2">
                        <c:v>60</c:v>
                      </c:pt>
                      <c:pt idx="3">
                        <c:v>58.4</c:v>
                      </c:pt>
                      <c:pt idx="4">
                        <c:v>56.8</c:v>
                      </c:pt>
                      <c:pt idx="5">
                        <c:v>60.8</c:v>
                      </c:pt>
                      <c:pt idx="6">
                        <c:v>60.4</c:v>
                      </c:pt>
                      <c:pt idx="7">
                        <c:v>60.1</c:v>
                      </c:pt>
                      <c:pt idx="8">
                        <c:v>59.7</c:v>
                      </c:pt>
                      <c:pt idx="9">
                        <c:v>59.3</c:v>
                      </c:pt>
                      <c:pt idx="10">
                        <c:v>59</c:v>
                      </c:pt>
                      <c:pt idx="11">
                        <c:v>58.6</c:v>
                      </c:pt>
                      <c:pt idx="12">
                        <c:v>58.6</c:v>
                      </c:pt>
                      <c:pt idx="13">
                        <c:v>58.4</c:v>
                      </c:pt>
                      <c:pt idx="14">
                        <c:v>58.5</c:v>
                      </c:pt>
                      <c:pt idx="15">
                        <c:v>59.3</c:v>
                      </c:pt>
                      <c:pt idx="16">
                        <c:v>62.2</c:v>
                      </c:pt>
                      <c:pt idx="17">
                        <c:v>63</c:v>
                      </c:pt>
                      <c:pt idx="18">
                        <c:v>63.1</c:v>
                      </c:pt>
                      <c:pt idx="19">
                        <c:v>62.7</c:v>
                      </c:pt>
                      <c:pt idx="20">
                        <c:v>62.3</c:v>
                      </c:pt>
                      <c:pt idx="21">
                        <c:v>62.3</c:v>
                      </c:pt>
                      <c:pt idx="22">
                        <c:v>62.7</c:v>
                      </c:pt>
                      <c:pt idx="23">
                        <c:v>63.7</c:v>
                      </c:pt>
                      <c:pt idx="24">
                        <c:v>64.400000000000006</c:v>
                      </c:pt>
                      <c:pt idx="25">
                        <c:v>64.3</c:v>
                      </c:pt>
                      <c:pt idx="26">
                        <c:v>64.099999999999994</c:v>
                      </c:pt>
                      <c:pt idx="27">
                        <c:v>63.8</c:v>
                      </c:pt>
                      <c:pt idx="28">
                        <c:v>63.2</c:v>
                      </c:pt>
                      <c:pt idx="29">
                        <c:v>62.9</c:v>
                      </c:pt>
                      <c:pt idx="30">
                        <c:v>62.5</c:v>
                      </c:pt>
                      <c:pt idx="31">
                        <c:v>61.7</c:v>
                      </c:pt>
                      <c:pt idx="32">
                        <c:v>61.5</c:v>
                      </c:pt>
                      <c:pt idx="33">
                        <c:v>61.7</c:v>
                      </c:pt>
                      <c:pt idx="34">
                        <c:v>62.8</c:v>
                      </c:pt>
                      <c:pt idx="35">
                        <c:v>63</c:v>
                      </c:pt>
                      <c:pt idx="36">
                        <c:v>62.3</c:v>
                      </c:pt>
                      <c:pt idx="37">
                        <c:v>61.5</c:v>
                      </c:pt>
                      <c:pt idx="38">
                        <c:v>60.7</c:v>
                      </c:pt>
                      <c:pt idx="39">
                        <c:v>60.1</c:v>
                      </c:pt>
                      <c:pt idx="40">
                        <c:v>59.5</c:v>
                      </c:pt>
                      <c:pt idx="41">
                        <c:v>57.9</c:v>
                      </c:pt>
                      <c:pt idx="42">
                        <c:v>57.8</c:v>
                      </c:pt>
                      <c:pt idx="43">
                        <c:v>59</c:v>
                      </c:pt>
                      <c:pt idx="44">
                        <c:v>59.2</c:v>
                      </c:pt>
                      <c:pt idx="45">
                        <c:v>59.9</c:v>
                      </c:pt>
                      <c:pt idx="46">
                        <c:v>59.3</c:v>
                      </c:pt>
                      <c:pt idx="47">
                        <c:v>57.9</c:v>
                      </c:pt>
                      <c:pt idx="48">
                        <c:v>56.8</c:v>
                      </c:pt>
                      <c:pt idx="49">
                        <c:v>56.1</c:v>
                      </c:pt>
                      <c:pt idx="50">
                        <c:v>57.8</c:v>
                      </c:pt>
                      <c:pt idx="51">
                        <c:v>57.8</c:v>
                      </c:pt>
                      <c:pt idx="52">
                        <c:v>57</c:v>
                      </c:pt>
                      <c:pt idx="53">
                        <c:v>56.6</c:v>
                      </c:pt>
                      <c:pt idx="54">
                        <c:v>57.4</c:v>
                      </c:pt>
                      <c:pt idx="55">
                        <c:v>58</c:v>
                      </c:pt>
                      <c:pt idx="56">
                        <c:v>57.5</c:v>
                      </c:pt>
                      <c:pt idx="57">
                        <c:v>57.3</c:v>
                      </c:pt>
                      <c:pt idx="58">
                        <c:v>56.9</c:v>
                      </c:pt>
                      <c:pt idx="59">
                        <c:v>56.2</c:v>
                      </c:pt>
                      <c:pt idx="60">
                        <c:v>55.7</c:v>
                      </c:pt>
                      <c:pt idx="61">
                        <c:v>55.4</c:v>
                      </c:pt>
                      <c:pt idx="62">
                        <c:v>55.5</c:v>
                      </c:pt>
                      <c:pt idx="63">
                        <c:v>55.4</c:v>
                      </c:pt>
                      <c:pt idx="64">
                        <c:v>56.1</c:v>
                      </c:pt>
                      <c:pt idx="65">
                        <c:v>56</c:v>
                      </c:pt>
                      <c:pt idx="66">
                        <c:v>55.4</c:v>
                      </c:pt>
                      <c:pt idx="67">
                        <c:v>57.1</c:v>
                      </c:pt>
                      <c:pt idx="68">
                        <c:v>57.5</c:v>
                      </c:pt>
                      <c:pt idx="69">
                        <c:v>56.7</c:v>
                      </c:pt>
                      <c:pt idx="70">
                        <c:v>55.5</c:v>
                      </c:pt>
                      <c:pt idx="71">
                        <c:v>57.1</c:v>
                      </c:pt>
                      <c:pt idx="72">
                        <c:v>57.3</c:v>
                      </c:pt>
                      <c:pt idx="73">
                        <c:v>57.3</c:v>
                      </c:pt>
                      <c:pt idx="74">
                        <c:v>56.1</c:v>
                      </c:pt>
                      <c:pt idx="75">
                        <c:v>55.4</c:v>
                      </c:pt>
                      <c:pt idx="76">
                        <c:v>56.6</c:v>
                      </c:pt>
                      <c:pt idx="77">
                        <c:v>54.5</c:v>
                      </c:pt>
                      <c:pt idx="78">
                        <c:v>56</c:v>
                      </c:pt>
                      <c:pt idx="79">
                        <c:v>56.1</c:v>
                      </c:pt>
                      <c:pt idx="80">
                        <c:v>57.9</c:v>
                      </c:pt>
                      <c:pt idx="81">
                        <c:v>57.6</c:v>
                      </c:pt>
                      <c:pt idx="82">
                        <c:v>54.5</c:v>
                      </c:pt>
                      <c:pt idx="83">
                        <c:v>50.4</c:v>
                      </c:pt>
                      <c:pt idx="84">
                        <c:v>49.8</c:v>
                      </c:pt>
                      <c:pt idx="85">
                        <c:v>47.9</c:v>
                      </c:pt>
                      <c:pt idx="86">
                        <c:v>45.9</c:v>
                      </c:pt>
                      <c:pt idx="87">
                        <c:v>48.6</c:v>
                      </c:pt>
                      <c:pt idx="88">
                        <c:v>47.6</c:v>
                      </c:pt>
                      <c:pt idx="89">
                        <c:v>48.2</c:v>
                      </c:pt>
                      <c:pt idx="90">
                        <c:v>47.2</c:v>
                      </c:pt>
                      <c:pt idx="91">
                        <c:v>47.3</c:v>
                      </c:pt>
                      <c:pt idx="92">
                        <c:v>49.6</c:v>
                      </c:pt>
                      <c:pt idx="93">
                        <c:v>49.5</c:v>
                      </c:pt>
                      <c:pt idx="94">
                        <c:v>48.2</c:v>
                      </c:pt>
                      <c:pt idx="95">
                        <c:v>48.6</c:v>
                      </c:pt>
                      <c:pt idx="96">
                        <c:v>47.9</c:v>
                      </c:pt>
                      <c:pt idx="97">
                        <c:v>46.7</c:v>
                      </c:pt>
                      <c:pt idx="98">
                        <c:v>48.6</c:v>
                      </c:pt>
                      <c:pt idx="99">
                        <c:v>47.2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FDC-40C7-A39A-38BF4D0F88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'Excel Assignment'!$G$1</c15:sqref>
                        </c15:formulaRef>
                      </c:ext>
                    </c:extLst>
                    <c:strCache>
                      <c:ptCount val="1"/>
                      <c:pt idx="0">
                        <c:v>agrictulture_ratio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'Excel Assignment'!$G$2:$G$101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2254</c:v>
                      </c:pt>
                      <c:pt idx="1">
                        <c:v>2264</c:v>
                      </c:pt>
                      <c:pt idx="2">
                        <c:v>2290</c:v>
                      </c:pt>
                      <c:pt idx="3">
                        <c:v>2291</c:v>
                      </c:pt>
                      <c:pt idx="4">
                        <c:v>2349</c:v>
                      </c:pt>
                      <c:pt idx="5">
                        <c:v>2425</c:v>
                      </c:pt>
                      <c:pt idx="6">
                        <c:v>2425</c:v>
                      </c:pt>
                      <c:pt idx="7">
                        <c:v>2454</c:v>
                      </c:pt>
                      <c:pt idx="8">
                        <c:v>2460</c:v>
                      </c:pt>
                      <c:pt idx="9">
                        <c:v>2422</c:v>
                      </c:pt>
                      <c:pt idx="10">
                        <c:v>2237</c:v>
                      </c:pt>
                      <c:pt idx="11">
                        <c:v>2130</c:v>
                      </c:pt>
                      <c:pt idx="12">
                        <c:v>2186</c:v>
                      </c:pt>
                      <c:pt idx="13">
                        <c:v>2254</c:v>
                      </c:pt>
                      <c:pt idx="14">
                        <c:v>2206</c:v>
                      </c:pt>
                      <c:pt idx="15">
                        <c:v>2103</c:v>
                      </c:pt>
                      <c:pt idx="16">
                        <c:v>2168</c:v>
                      </c:pt>
                      <c:pt idx="17">
                        <c:v>2095</c:v>
                      </c:pt>
                      <c:pt idx="18">
                        <c:v>2206</c:v>
                      </c:pt>
                      <c:pt idx="19">
                        <c:v>2197</c:v>
                      </c:pt>
                      <c:pt idx="20">
                        <c:v>2232</c:v>
                      </c:pt>
                      <c:pt idx="21">
                        <c:v>2275</c:v>
                      </c:pt>
                      <c:pt idx="22">
                        <c:v>2311</c:v>
                      </c:pt>
                      <c:pt idx="23">
                        <c:v>2299</c:v>
                      </c:pt>
                      <c:pt idx="24">
                        <c:v>2464</c:v>
                      </c:pt>
                      <c:pt idx="25">
                        <c:v>3281</c:v>
                      </c:pt>
                      <c:pt idx="26">
                        <c:v>3378</c:v>
                      </c:pt>
                      <c:pt idx="27">
                        <c:v>3399</c:v>
                      </c:pt>
                      <c:pt idx="28">
                        <c:v>3443</c:v>
                      </c:pt>
                      <c:pt idx="29">
                        <c:v>3440</c:v>
                      </c:pt>
                      <c:pt idx="30">
                        <c:v>3409</c:v>
                      </c:pt>
                      <c:pt idx="31">
                        <c:v>3115</c:v>
                      </c:pt>
                      <c:pt idx="32">
                        <c:v>3247</c:v>
                      </c:pt>
                      <c:pt idx="33">
                        <c:v>3269</c:v>
                      </c:pt>
                      <c:pt idx="34">
                        <c:v>3223</c:v>
                      </c:pt>
                      <c:pt idx="35">
                        <c:v>3199</c:v>
                      </c:pt>
                      <c:pt idx="36">
                        <c:v>3169</c:v>
                      </c:pt>
                      <c:pt idx="37">
                        <c:v>3208</c:v>
                      </c:pt>
                      <c:pt idx="38">
                        <c:v>3163</c:v>
                      </c:pt>
                      <c:pt idx="39">
                        <c:v>3179</c:v>
                      </c:pt>
                      <c:pt idx="40">
                        <c:v>3321</c:v>
                      </c:pt>
                      <c:pt idx="41">
                        <c:v>3383</c:v>
                      </c:pt>
                      <c:pt idx="42">
                        <c:v>3401</c:v>
                      </c:pt>
                      <c:pt idx="43">
                        <c:v>3368</c:v>
                      </c:pt>
                      <c:pt idx="44">
                        <c:v>3364</c:v>
                      </c:pt>
                      <c:pt idx="45">
                        <c:v>3347</c:v>
                      </c:pt>
                      <c:pt idx="46">
                        <c:v>3387</c:v>
                      </c:pt>
                      <c:pt idx="47">
                        <c:v>3283</c:v>
                      </c:pt>
                      <c:pt idx="48">
                        <c:v>3331</c:v>
                      </c:pt>
                      <c:pt idx="49">
                        <c:v>3408</c:v>
                      </c:pt>
                      <c:pt idx="50">
                        <c:v>3515</c:v>
                      </c:pt>
                      <c:pt idx="51">
                        <c:v>3470</c:v>
                      </c:pt>
                      <c:pt idx="52">
                        <c:v>3484</c:v>
                      </c:pt>
                      <c:pt idx="53">
                        <c:v>3394</c:v>
                      </c:pt>
                      <c:pt idx="54">
                        <c:v>3463</c:v>
                      </c:pt>
                      <c:pt idx="55">
                        <c:v>3606</c:v>
                      </c:pt>
                      <c:pt idx="56">
                        <c:v>3817</c:v>
                      </c:pt>
                      <c:pt idx="57">
                        <c:v>3844</c:v>
                      </c:pt>
                      <c:pt idx="58">
                        <c:v>3979</c:v>
                      </c:pt>
                      <c:pt idx="59">
                        <c:v>4361</c:v>
                      </c:pt>
                      <c:pt idx="60">
                        <c:v>4523</c:v>
                      </c:pt>
                      <c:pt idx="61">
                        <c:v>4687</c:v>
                      </c:pt>
                      <c:pt idx="62">
                        <c:v>4944</c:v>
                      </c:pt>
                      <c:pt idx="63">
                        <c:v>5200</c:v>
                      </c:pt>
                      <c:pt idx="64">
                        <c:v>5458</c:v>
                      </c:pt>
                      <c:pt idx="65">
                        <c:v>5565</c:v>
                      </c:pt>
                      <c:pt idx="66">
                        <c:v>5586</c:v>
                      </c:pt>
                      <c:pt idx="67">
                        <c:v>5947</c:v>
                      </c:pt>
                      <c:pt idx="68">
                        <c:v>6283</c:v>
                      </c:pt>
                      <c:pt idx="69">
                        <c:v>6450</c:v>
                      </c:pt>
                      <c:pt idx="70">
                        <c:v>6205</c:v>
                      </c:pt>
                      <c:pt idx="71">
                        <c:v>6260</c:v>
                      </c:pt>
                      <c:pt idx="72">
                        <c:v>6500</c:v>
                      </c:pt>
                      <c:pt idx="73">
                        <c:v>6726</c:v>
                      </c:pt>
                      <c:pt idx="74">
                        <c:v>7160</c:v>
                      </c:pt>
                      <c:pt idx="75">
                        <c:v>7658</c:v>
                      </c:pt>
                      <c:pt idx="76">
                        <c:v>7629</c:v>
                      </c:pt>
                      <c:pt idx="77">
                        <c:v>8256</c:v>
                      </c:pt>
                      <c:pt idx="78">
                        <c:v>7890</c:v>
                      </c:pt>
                      <c:pt idx="79">
                        <c:v>8580</c:v>
                      </c:pt>
                      <c:pt idx="80">
                        <c:v>8950</c:v>
                      </c:pt>
                      <c:pt idx="81">
                        <c:v>9080</c:v>
                      </c:pt>
                      <c:pt idx="82">
                        <c:v>9250</c:v>
                      </c:pt>
                      <c:pt idx="83">
                        <c:v>9100</c:v>
                      </c:pt>
                      <c:pt idx="84">
                        <c:v>9236</c:v>
                      </c:pt>
                      <c:pt idx="85">
                        <c:v>9258</c:v>
                      </c:pt>
                      <c:pt idx="86">
                        <c:v>9346</c:v>
                      </c:pt>
                      <c:pt idx="87">
                        <c:v>9386</c:v>
                      </c:pt>
                      <c:pt idx="88">
                        <c:v>9436</c:v>
                      </c:pt>
                      <c:pt idx="89">
                        <c:v>9578</c:v>
                      </c:pt>
                      <c:pt idx="90">
                        <c:v>9671</c:v>
                      </c:pt>
                      <c:pt idx="91">
                        <c:v>9731</c:v>
                      </c:pt>
                      <c:pt idx="92">
                        <c:v>9837</c:v>
                      </c:pt>
                      <c:pt idx="93">
                        <c:v>9913</c:v>
                      </c:pt>
                      <c:pt idx="94">
                        <c:v>10359</c:v>
                      </c:pt>
                      <c:pt idx="95">
                        <c:v>11957</c:v>
                      </c:pt>
                      <c:pt idx="96">
                        <c:v>1283</c:v>
                      </c:pt>
                      <c:pt idx="97">
                        <c:v>13468</c:v>
                      </c:pt>
                      <c:pt idx="98">
                        <c:v>14853</c:v>
                      </c:pt>
                      <c:pt idx="99">
                        <c:v>15794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FDC-40C7-A39A-38BF4D0F882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'Excel Assignment'!$H$1</c15:sqref>
                        </c15:formulaRef>
                      </c:ext>
                    </c:extLst>
                    <c:strCache>
                      <c:ptCount val="1"/>
                      <c:pt idx="0">
                        <c:v>nonagriculture_ratio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'Excel Assignment'!$H$2:$H$101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159091</c:v>
                      </c:pt>
                      <c:pt idx="1">
                        <c:v>158772</c:v>
                      </c:pt>
                      <c:pt idx="2">
                        <c:v>156001</c:v>
                      </c:pt>
                      <c:pt idx="3">
                        <c:v>150290</c:v>
                      </c:pt>
                      <c:pt idx="4">
                        <c:v>145446</c:v>
                      </c:pt>
                      <c:pt idx="5">
                        <c:v>155113</c:v>
                      </c:pt>
                      <c:pt idx="6">
                        <c:v>153336</c:v>
                      </c:pt>
                      <c:pt idx="7">
                        <c:v>150883</c:v>
                      </c:pt>
                      <c:pt idx="8">
                        <c:v>148976</c:v>
                      </c:pt>
                      <c:pt idx="9">
                        <c:v>146411</c:v>
                      </c:pt>
                      <c:pt idx="10">
                        <c:v>144068</c:v>
                      </c:pt>
                      <c:pt idx="11">
                        <c:v>141799</c:v>
                      </c:pt>
                      <c:pt idx="12">
                        <c:v>140283</c:v>
                      </c:pt>
                      <c:pt idx="13">
                        <c:v>137615</c:v>
                      </c:pt>
                      <c:pt idx="14">
                        <c:v>136858</c:v>
                      </c:pt>
                      <c:pt idx="15">
                        <c:v>137775</c:v>
                      </c:pt>
                      <c:pt idx="16">
                        <c:v>143194</c:v>
                      </c:pt>
                      <c:pt idx="17">
                        <c:v>143952</c:v>
                      </c:pt>
                      <c:pt idx="18">
                        <c:v>142221</c:v>
                      </c:pt>
                      <c:pt idx="19">
                        <c:v>139532</c:v>
                      </c:pt>
                      <c:pt idx="20">
                        <c:v>137020</c:v>
                      </c:pt>
                      <c:pt idx="21">
                        <c:v>135461</c:v>
                      </c:pt>
                      <c:pt idx="22">
                        <c:v>134174</c:v>
                      </c:pt>
                      <c:pt idx="23">
                        <c:v>134635</c:v>
                      </c:pt>
                      <c:pt idx="24">
                        <c:v>134427</c:v>
                      </c:pt>
                      <c:pt idx="25">
                        <c:v>130207</c:v>
                      </c:pt>
                      <c:pt idx="26">
                        <c:v>128085</c:v>
                      </c:pt>
                      <c:pt idx="27">
                        <c:v>126159</c:v>
                      </c:pt>
                      <c:pt idx="28">
                        <c:v>123264</c:v>
                      </c:pt>
                      <c:pt idx="29">
                        <c:v>121460</c:v>
                      </c:pt>
                      <c:pt idx="30">
                        <c:v>119651</c:v>
                      </c:pt>
                      <c:pt idx="31">
                        <c:v>117144</c:v>
                      </c:pt>
                      <c:pt idx="32">
                        <c:v>115245</c:v>
                      </c:pt>
                      <c:pt idx="33">
                        <c:v>114449</c:v>
                      </c:pt>
                      <c:pt idx="34">
                        <c:v>115570</c:v>
                      </c:pt>
                      <c:pt idx="35">
                        <c:v>114142</c:v>
                      </c:pt>
                      <c:pt idx="36">
                        <c:v>111800</c:v>
                      </c:pt>
                      <c:pt idx="37">
                        <c:v>109232</c:v>
                      </c:pt>
                      <c:pt idx="38">
                        <c:v>106434</c:v>
                      </c:pt>
                      <c:pt idx="39">
                        <c:v>103971</c:v>
                      </c:pt>
                      <c:pt idx="40">
                        <c:v>101685</c:v>
                      </c:pt>
                      <c:pt idx="41">
                        <c:v>97450</c:v>
                      </c:pt>
                      <c:pt idx="42">
                        <c:v>96125</c:v>
                      </c:pt>
                      <c:pt idx="43">
                        <c:v>97030</c:v>
                      </c:pt>
                      <c:pt idx="44">
                        <c:v>95938</c:v>
                      </c:pt>
                      <c:pt idx="45">
                        <c:v>95477</c:v>
                      </c:pt>
                      <c:pt idx="46">
                        <c:v>92661</c:v>
                      </c:pt>
                      <c:pt idx="47">
                        <c:v>88734</c:v>
                      </c:pt>
                      <c:pt idx="48">
                        <c:v>85421</c:v>
                      </c:pt>
                      <c:pt idx="49">
                        <c:v>82438</c:v>
                      </c:pt>
                      <c:pt idx="50">
                        <c:v>83279</c:v>
                      </c:pt>
                      <c:pt idx="51">
                        <c:v>81594</c:v>
                      </c:pt>
                      <c:pt idx="52">
                        <c:v>78669</c:v>
                      </c:pt>
                      <c:pt idx="53">
                        <c:v>75972</c:v>
                      </c:pt>
                      <c:pt idx="54">
                        <c:v>75215</c:v>
                      </c:pt>
                      <c:pt idx="55">
                        <c:v>74296</c:v>
                      </c:pt>
                      <c:pt idx="56">
                        <c:v>72103</c:v>
                      </c:pt>
                      <c:pt idx="57">
                        <c:v>70527</c:v>
                      </c:pt>
                      <c:pt idx="58">
                        <c:v>68915</c:v>
                      </c:pt>
                      <c:pt idx="59">
                        <c:v>66726</c:v>
                      </c:pt>
                      <c:pt idx="60">
                        <c:v>64782</c:v>
                      </c:pt>
                      <c:pt idx="61">
                        <c:v>63076</c:v>
                      </c:pt>
                      <c:pt idx="62">
                        <c:v>61759</c:v>
                      </c:pt>
                      <c:pt idx="63">
                        <c:v>60546</c:v>
                      </c:pt>
                      <c:pt idx="64">
                        <c:v>60318</c:v>
                      </c:pt>
                      <c:pt idx="65">
                        <c:v>59065</c:v>
                      </c:pt>
                      <c:pt idx="66">
                        <c:v>57450</c:v>
                      </c:pt>
                      <c:pt idx="67">
                        <c:v>58123</c:v>
                      </c:pt>
                      <c:pt idx="68">
                        <c:v>57514</c:v>
                      </c:pt>
                      <c:pt idx="69">
                        <c:v>55722</c:v>
                      </c:pt>
                      <c:pt idx="70">
                        <c:v>53904</c:v>
                      </c:pt>
                      <c:pt idx="71">
                        <c:v>54919</c:v>
                      </c:pt>
                      <c:pt idx="72">
                        <c:v>53749</c:v>
                      </c:pt>
                      <c:pt idx="73">
                        <c:v>53235</c:v>
                      </c:pt>
                      <c:pt idx="74">
                        <c:v>51758</c:v>
                      </c:pt>
                      <c:pt idx="75">
                        <c:v>49993</c:v>
                      </c:pt>
                      <c:pt idx="76">
                        <c:v>50714</c:v>
                      </c:pt>
                      <c:pt idx="77">
                        <c:v>49557</c:v>
                      </c:pt>
                      <c:pt idx="78">
                        <c:v>49148</c:v>
                      </c:pt>
                      <c:pt idx="79">
                        <c:v>44240</c:v>
                      </c:pt>
                      <c:pt idx="80">
                        <c:v>45010</c:v>
                      </c:pt>
                      <c:pt idx="81">
                        <c:v>45390</c:v>
                      </c:pt>
                      <c:pt idx="82">
                        <c:v>44500</c:v>
                      </c:pt>
                      <c:pt idx="83">
                        <c:v>41250</c:v>
                      </c:pt>
                      <c:pt idx="84">
                        <c:v>46628</c:v>
                      </c:pt>
                      <c:pt idx="85">
                        <c:v>46455</c:v>
                      </c:pt>
                      <c:pt idx="86">
                        <c:v>45585</c:v>
                      </c:pt>
                      <c:pt idx="87">
                        <c:v>44752</c:v>
                      </c:pt>
                      <c:pt idx="88">
                        <c:v>44525</c:v>
                      </c:pt>
                      <c:pt idx="89">
                        <c:v>43819</c:v>
                      </c:pt>
                      <c:pt idx="90">
                        <c:v>43190</c:v>
                      </c:pt>
                      <c:pt idx="91">
                        <c:v>42548</c:v>
                      </c:pt>
                      <c:pt idx="92">
                        <c:v>42094</c:v>
                      </c:pt>
                      <c:pt idx="93">
                        <c:v>41363</c:v>
                      </c:pt>
                      <c:pt idx="94">
                        <c:v>40433</c:v>
                      </c:pt>
                      <c:pt idx="95">
                        <c:v>38122</c:v>
                      </c:pt>
                      <c:pt idx="96">
                        <c:v>48710</c:v>
                      </c:pt>
                      <c:pt idx="97">
                        <c:v>35860</c:v>
                      </c:pt>
                      <c:pt idx="98">
                        <c:v>34250</c:v>
                      </c:pt>
                      <c:pt idx="99">
                        <c:v>33143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FDC-40C7-A39A-38BF4D0F8823}"/>
                  </c:ext>
                </c:extLst>
              </c15:ser>
            </c15:filteredLineSeries>
          </c:ext>
        </c:extLst>
      </c:lineChart>
      <c:catAx>
        <c:axId val="18907392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737823"/>
        <c:crosses val="autoZero"/>
        <c:auto val="1"/>
        <c:lblAlgn val="ctr"/>
        <c:lblOffset val="100"/>
        <c:noMultiLvlLbl val="0"/>
      </c:catAx>
      <c:valAx>
        <c:axId val="18907378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73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Agriculture vs Non agriculture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'Excel Assignment'!$G$1</c:f>
              <c:strCache>
                <c:ptCount val="1"/>
                <c:pt idx="0">
                  <c:v>agrictulture_ratio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'Excel Assignment'!$G$2:$G$101</c:f>
              <c:numCache>
                <c:formatCode>General</c:formatCode>
                <c:ptCount val="100"/>
                <c:pt idx="0">
                  <c:v>2254</c:v>
                </c:pt>
                <c:pt idx="1">
                  <c:v>2264</c:v>
                </c:pt>
                <c:pt idx="2">
                  <c:v>2290</c:v>
                </c:pt>
                <c:pt idx="3">
                  <c:v>2291</c:v>
                </c:pt>
                <c:pt idx="4">
                  <c:v>2349</c:v>
                </c:pt>
                <c:pt idx="5">
                  <c:v>2425</c:v>
                </c:pt>
                <c:pt idx="6">
                  <c:v>2425</c:v>
                </c:pt>
                <c:pt idx="7">
                  <c:v>2454</c:v>
                </c:pt>
                <c:pt idx="8">
                  <c:v>2460</c:v>
                </c:pt>
                <c:pt idx="9">
                  <c:v>2422</c:v>
                </c:pt>
                <c:pt idx="10">
                  <c:v>2237</c:v>
                </c:pt>
                <c:pt idx="11">
                  <c:v>2130</c:v>
                </c:pt>
                <c:pt idx="12">
                  <c:v>2186</c:v>
                </c:pt>
                <c:pt idx="13">
                  <c:v>2254</c:v>
                </c:pt>
                <c:pt idx="14">
                  <c:v>2206</c:v>
                </c:pt>
                <c:pt idx="15">
                  <c:v>2103</c:v>
                </c:pt>
                <c:pt idx="16">
                  <c:v>2168</c:v>
                </c:pt>
                <c:pt idx="17">
                  <c:v>2095</c:v>
                </c:pt>
                <c:pt idx="18">
                  <c:v>2206</c:v>
                </c:pt>
                <c:pt idx="19">
                  <c:v>2197</c:v>
                </c:pt>
                <c:pt idx="20">
                  <c:v>2232</c:v>
                </c:pt>
                <c:pt idx="21">
                  <c:v>2275</c:v>
                </c:pt>
                <c:pt idx="22">
                  <c:v>2311</c:v>
                </c:pt>
                <c:pt idx="23">
                  <c:v>2299</c:v>
                </c:pt>
                <c:pt idx="24">
                  <c:v>2464</c:v>
                </c:pt>
                <c:pt idx="25">
                  <c:v>3281</c:v>
                </c:pt>
                <c:pt idx="26">
                  <c:v>3378</c:v>
                </c:pt>
                <c:pt idx="27">
                  <c:v>3399</c:v>
                </c:pt>
                <c:pt idx="28">
                  <c:v>3443</c:v>
                </c:pt>
                <c:pt idx="29">
                  <c:v>3440</c:v>
                </c:pt>
                <c:pt idx="30">
                  <c:v>3409</c:v>
                </c:pt>
                <c:pt idx="31">
                  <c:v>3115</c:v>
                </c:pt>
                <c:pt idx="32">
                  <c:v>3247</c:v>
                </c:pt>
                <c:pt idx="33">
                  <c:v>3269</c:v>
                </c:pt>
                <c:pt idx="34">
                  <c:v>3223</c:v>
                </c:pt>
                <c:pt idx="35">
                  <c:v>3199</c:v>
                </c:pt>
                <c:pt idx="36">
                  <c:v>3169</c:v>
                </c:pt>
                <c:pt idx="37">
                  <c:v>3208</c:v>
                </c:pt>
                <c:pt idx="38">
                  <c:v>3163</c:v>
                </c:pt>
                <c:pt idx="39">
                  <c:v>3179</c:v>
                </c:pt>
                <c:pt idx="40">
                  <c:v>3321</c:v>
                </c:pt>
                <c:pt idx="41">
                  <c:v>3383</c:v>
                </c:pt>
                <c:pt idx="42">
                  <c:v>3401</c:v>
                </c:pt>
                <c:pt idx="43">
                  <c:v>3368</c:v>
                </c:pt>
                <c:pt idx="44">
                  <c:v>3364</c:v>
                </c:pt>
                <c:pt idx="45">
                  <c:v>3347</c:v>
                </c:pt>
                <c:pt idx="46">
                  <c:v>3387</c:v>
                </c:pt>
                <c:pt idx="47">
                  <c:v>3283</c:v>
                </c:pt>
                <c:pt idx="48">
                  <c:v>3331</c:v>
                </c:pt>
                <c:pt idx="49">
                  <c:v>3408</c:v>
                </c:pt>
                <c:pt idx="50">
                  <c:v>3515</c:v>
                </c:pt>
                <c:pt idx="51">
                  <c:v>3470</c:v>
                </c:pt>
                <c:pt idx="52">
                  <c:v>3484</c:v>
                </c:pt>
                <c:pt idx="53">
                  <c:v>3394</c:v>
                </c:pt>
                <c:pt idx="54">
                  <c:v>3463</c:v>
                </c:pt>
                <c:pt idx="55">
                  <c:v>3606</c:v>
                </c:pt>
                <c:pt idx="56">
                  <c:v>3817</c:v>
                </c:pt>
                <c:pt idx="57">
                  <c:v>3844</c:v>
                </c:pt>
                <c:pt idx="58">
                  <c:v>3979</c:v>
                </c:pt>
                <c:pt idx="59">
                  <c:v>4361</c:v>
                </c:pt>
                <c:pt idx="60">
                  <c:v>4523</c:v>
                </c:pt>
                <c:pt idx="61">
                  <c:v>4687</c:v>
                </c:pt>
                <c:pt idx="62">
                  <c:v>4944</c:v>
                </c:pt>
                <c:pt idx="63">
                  <c:v>5200</c:v>
                </c:pt>
                <c:pt idx="64">
                  <c:v>5458</c:v>
                </c:pt>
                <c:pt idx="65">
                  <c:v>5565</c:v>
                </c:pt>
                <c:pt idx="66">
                  <c:v>5586</c:v>
                </c:pt>
                <c:pt idx="67">
                  <c:v>5947</c:v>
                </c:pt>
                <c:pt idx="68">
                  <c:v>6283</c:v>
                </c:pt>
                <c:pt idx="69">
                  <c:v>6450</c:v>
                </c:pt>
                <c:pt idx="70">
                  <c:v>6205</c:v>
                </c:pt>
                <c:pt idx="71">
                  <c:v>6260</c:v>
                </c:pt>
                <c:pt idx="72">
                  <c:v>6500</c:v>
                </c:pt>
                <c:pt idx="73">
                  <c:v>6726</c:v>
                </c:pt>
                <c:pt idx="74">
                  <c:v>7160</c:v>
                </c:pt>
                <c:pt idx="75">
                  <c:v>7658</c:v>
                </c:pt>
                <c:pt idx="76">
                  <c:v>7629</c:v>
                </c:pt>
                <c:pt idx="77">
                  <c:v>8256</c:v>
                </c:pt>
                <c:pt idx="78">
                  <c:v>7890</c:v>
                </c:pt>
                <c:pt idx="79">
                  <c:v>8580</c:v>
                </c:pt>
                <c:pt idx="80">
                  <c:v>8950</c:v>
                </c:pt>
                <c:pt idx="81">
                  <c:v>9080</c:v>
                </c:pt>
                <c:pt idx="82">
                  <c:v>9250</c:v>
                </c:pt>
                <c:pt idx="83">
                  <c:v>9100</c:v>
                </c:pt>
                <c:pt idx="84">
                  <c:v>9236</c:v>
                </c:pt>
                <c:pt idx="85">
                  <c:v>9258</c:v>
                </c:pt>
                <c:pt idx="86">
                  <c:v>9346</c:v>
                </c:pt>
                <c:pt idx="87">
                  <c:v>9386</c:v>
                </c:pt>
                <c:pt idx="88">
                  <c:v>9436</c:v>
                </c:pt>
                <c:pt idx="89">
                  <c:v>9578</c:v>
                </c:pt>
                <c:pt idx="90">
                  <c:v>9671</c:v>
                </c:pt>
                <c:pt idx="91">
                  <c:v>9731</c:v>
                </c:pt>
                <c:pt idx="92">
                  <c:v>9837</c:v>
                </c:pt>
                <c:pt idx="93">
                  <c:v>9913</c:v>
                </c:pt>
                <c:pt idx="94">
                  <c:v>10359</c:v>
                </c:pt>
                <c:pt idx="95">
                  <c:v>11957</c:v>
                </c:pt>
                <c:pt idx="96">
                  <c:v>1283</c:v>
                </c:pt>
                <c:pt idx="97">
                  <c:v>13468</c:v>
                </c:pt>
                <c:pt idx="98">
                  <c:v>14853</c:v>
                </c:pt>
                <c:pt idx="99">
                  <c:v>15794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A-4E05-8501-7EB9FA43B7B4}"/>
            </c:ext>
          </c:extLst>
        </c:ser>
        <c:ser>
          <c:idx val="1"/>
          <c:order val="1"/>
          <c:tx>
            <c:strRef>
              <c:f>'Excel Assignment'!$H$1</c:f>
              <c:strCache>
                <c:ptCount val="1"/>
                <c:pt idx="0">
                  <c:v>nonagriculture_ratio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'Excel Assignment'!$H$2:$H$101</c:f>
              <c:numCache>
                <c:formatCode>General</c:formatCode>
                <c:ptCount val="100"/>
                <c:pt idx="0">
                  <c:v>159091</c:v>
                </c:pt>
                <c:pt idx="1">
                  <c:v>158772</c:v>
                </c:pt>
                <c:pt idx="2">
                  <c:v>156001</c:v>
                </c:pt>
                <c:pt idx="3">
                  <c:v>150290</c:v>
                </c:pt>
                <c:pt idx="4">
                  <c:v>145446</c:v>
                </c:pt>
                <c:pt idx="5">
                  <c:v>155113</c:v>
                </c:pt>
                <c:pt idx="6">
                  <c:v>153336</c:v>
                </c:pt>
                <c:pt idx="7">
                  <c:v>150883</c:v>
                </c:pt>
                <c:pt idx="8">
                  <c:v>148976</c:v>
                </c:pt>
                <c:pt idx="9">
                  <c:v>146411</c:v>
                </c:pt>
                <c:pt idx="10">
                  <c:v>144068</c:v>
                </c:pt>
                <c:pt idx="11">
                  <c:v>141799</c:v>
                </c:pt>
                <c:pt idx="12">
                  <c:v>140283</c:v>
                </c:pt>
                <c:pt idx="13">
                  <c:v>137615</c:v>
                </c:pt>
                <c:pt idx="14">
                  <c:v>136858</c:v>
                </c:pt>
                <c:pt idx="15">
                  <c:v>137775</c:v>
                </c:pt>
                <c:pt idx="16">
                  <c:v>143194</c:v>
                </c:pt>
                <c:pt idx="17">
                  <c:v>143952</c:v>
                </c:pt>
                <c:pt idx="18">
                  <c:v>142221</c:v>
                </c:pt>
                <c:pt idx="19">
                  <c:v>139532</c:v>
                </c:pt>
                <c:pt idx="20">
                  <c:v>137020</c:v>
                </c:pt>
                <c:pt idx="21">
                  <c:v>135461</c:v>
                </c:pt>
                <c:pt idx="22">
                  <c:v>134174</c:v>
                </c:pt>
                <c:pt idx="23">
                  <c:v>134635</c:v>
                </c:pt>
                <c:pt idx="24">
                  <c:v>134427</c:v>
                </c:pt>
                <c:pt idx="25">
                  <c:v>130207</c:v>
                </c:pt>
                <c:pt idx="26">
                  <c:v>128085</c:v>
                </c:pt>
                <c:pt idx="27">
                  <c:v>126159</c:v>
                </c:pt>
                <c:pt idx="28">
                  <c:v>123264</c:v>
                </c:pt>
                <c:pt idx="29">
                  <c:v>121460</c:v>
                </c:pt>
                <c:pt idx="30">
                  <c:v>119651</c:v>
                </c:pt>
                <c:pt idx="31">
                  <c:v>117144</c:v>
                </c:pt>
                <c:pt idx="32">
                  <c:v>115245</c:v>
                </c:pt>
                <c:pt idx="33">
                  <c:v>114449</c:v>
                </c:pt>
                <c:pt idx="34">
                  <c:v>115570</c:v>
                </c:pt>
                <c:pt idx="35">
                  <c:v>114142</c:v>
                </c:pt>
                <c:pt idx="36">
                  <c:v>111800</c:v>
                </c:pt>
                <c:pt idx="37">
                  <c:v>109232</c:v>
                </c:pt>
                <c:pt idx="38">
                  <c:v>106434</c:v>
                </c:pt>
                <c:pt idx="39">
                  <c:v>103971</c:v>
                </c:pt>
                <c:pt idx="40">
                  <c:v>101685</c:v>
                </c:pt>
                <c:pt idx="41">
                  <c:v>97450</c:v>
                </c:pt>
                <c:pt idx="42">
                  <c:v>96125</c:v>
                </c:pt>
                <c:pt idx="43">
                  <c:v>97030</c:v>
                </c:pt>
                <c:pt idx="44">
                  <c:v>95938</c:v>
                </c:pt>
                <c:pt idx="45">
                  <c:v>95477</c:v>
                </c:pt>
                <c:pt idx="46">
                  <c:v>92661</c:v>
                </c:pt>
                <c:pt idx="47">
                  <c:v>88734</c:v>
                </c:pt>
                <c:pt idx="48">
                  <c:v>85421</c:v>
                </c:pt>
                <c:pt idx="49">
                  <c:v>82438</c:v>
                </c:pt>
                <c:pt idx="50">
                  <c:v>83279</c:v>
                </c:pt>
                <c:pt idx="51">
                  <c:v>81594</c:v>
                </c:pt>
                <c:pt idx="52">
                  <c:v>78669</c:v>
                </c:pt>
                <c:pt idx="53">
                  <c:v>75972</c:v>
                </c:pt>
                <c:pt idx="54">
                  <c:v>75215</c:v>
                </c:pt>
                <c:pt idx="55">
                  <c:v>74296</c:v>
                </c:pt>
                <c:pt idx="56">
                  <c:v>72103</c:v>
                </c:pt>
                <c:pt idx="57">
                  <c:v>70527</c:v>
                </c:pt>
                <c:pt idx="58">
                  <c:v>68915</c:v>
                </c:pt>
                <c:pt idx="59">
                  <c:v>66726</c:v>
                </c:pt>
                <c:pt idx="60">
                  <c:v>64782</c:v>
                </c:pt>
                <c:pt idx="61">
                  <c:v>63076</c:v>
                </c:pt>
                <c:pt idx="62">
                  <c:v>61759</c:v>
                </c:pt>
                <c:pt idx="63">
                  <c:v>60546</c:v>
                </c:pt>
                <c:pt idx="64">
                  <c:v>60318</c:v>
                </c:pt>
                <c:pt idx="65">
                  <c:v>59065</c:v>
                </c:pt>
                <c:pt idx="66">
                  <c:v>57450</c:v>
                </c:pt>
                <c:pt idx="67">
                  <c:v>58123</c:v>
                </c:pt>
                <c:pt idx="68">
                  <c:v>57514</c:v>
                </c:pt>
                <c:pt idx="69">
                  <c:v>55722</c:v>
                </c:pt>
                <c:pt idx="70">
                  <c:v>53904</c:v>
                </c:pt>
                <c:pt idx="71">
                  <c:v>54919</c:v>
                </c:pt>
                <c:pt idx="72">
                  <c:v>53749</c:v>
                </c:pt>
                <c:pt idx="73">
                  <c:v>53235</c:v>
                </c:pt>
                <c:pt idx="74">
                  <c:v>51758</c:v>
                </c:pt>
                <c:pt idx="75">
                  <c:v>49993</c:v>
                </c:pt>
                <c:pt idx="76">
                  <c:v>50714</c:v>
                </c:pt>
                <c:pt idx="77">
                  <c:v>49557</c:v>
                </c:pt>
                <c:pt idx="78">
                  <c:v>49148</c:v>
                </c:pt>
                <c:pt idx="79">
                  <c:v>44240</c:v>
                </c:pt>
                <c:pt idx="80">
                  <c:v>45010</c:v>
                </c:pt>
                <c:pt idx="81">
                  <c:v>45390</c:v>
                </c:pt>
                <c:pt idx="82">
                  <c:v>44500</c:v>
                </c:pt>
                <c:pt idx="83">
                  <c:v>41250</c:v>
                </c:pt>
                <c:pt idx="84">
                  <c:v>46628</c:v>
                </c:pt>
                <c:pt idx="85">
                  <c:v>46455</c:v>
                </c:pt>
                <c:pt idx="86">
                  <c:v>45585</c:v>
                </c:pt>
                <c:pt idx="87">
                  <c:v>44752</c:v>
                </c:pt>
                <c:pt idx="88">
                  <c:v>44525</c:v>
                </c:pt>
                <c:pt idx="89">
                  <c:v>43819</c:v>
                </c:pt>
                <c:pt idx="90">
                  <c:v>43190</c:v>
                </c:pt>
                <c:pt idx="91">
                  <c:v>42548</c:v>
                </c:pt>
                <c:pt idx="92">
                  <c:v>42094</c:v>
                </c:pt>
                <c:pt idx="93">
                  <c:v>41363</c:v>
                </c:pt>
                <c:pt idx="94">
                  <c:v>40433</c:v>
                </c:pt>
                <c:pt idx="95">
                  <c:v>38122</c:v>
                </c:pt>
                <c:pt idx="96">
                  <c:v>48710</c:v>
                </c:pt>
                <c:pt idx="97">
                  <c:v>35860</c:v>
                </c:pt>
                <c:pt idx="98">
                  <c:v>34250</c:v>
                </c:pt>
                <c:pt idx="99">
                  <c:v>33143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2A-4E05-8501-7EB9FA43B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0607087"/>
        <c:axId val="1900608527"/>
      </c:lineChart>
      <c:catAx>
        <c:axId val="19006070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08527"/>
        <c:crosses val="autoZero"/>
        <c:auto val="1"/>
        <c:lblAlgn val="ctr"/>
        <c:lblOffset val="100"/>
        <c:noMultiLvlLbl val="0"/>
      </c:catAx>
      <c:valAx>
        <c:axId val="19006085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0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Population</a:t>
            </a:r>
            <a:r>
              <a:rPr lang="en-IN" baseline="0"/>
              <a:t> vs Labour Force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Assignment'!$B$1</c:f>
              <c:strCache>
                <c:ptCount val="1"/>
                <c:pt idx="0">
                  <c:v>population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'Excel Assignment'!$B$2:$B$101</c:f>
              <c:numCache>
                <c:formatCode>General</c:formatCode>
                <c:ptCount val="100"/>
                <c:pt idx="0">
                  <c:v>268571</c:v>
                </c:pt>
                <c:pt idx="1">
                  <c:v>266942</c:v>
                </c:pt>
                <c:pt idx="2">
                  <c:v>263973</c:v>
                </c:pt>
                <c:pt idx="3">
                  <c:v>261445</c:v>
                </c:pt>
                <c:pt idx="4">
                  <c:v>260329</c:v>
                </c:pt>
                <c:pt idx="5">
                  <c:v>259175</c:v>
                </c:pt>
                <c:pt idx="6">
                  <c:v>257791</c:v>
                </c:pt>
                <c:pt idx="7">
                  <c:v>255079</c:v>
                </c:pt>
                <c:pt idx="8">
                  <c:v>253538</c:v>
                </c:pt>
                <c:pt idx="9">
                  <c:v>250801</c:v>
                </c:pt>
                <c:pt idx="10">
                  <c:v>247947</c:v>
                </c:pt>
                <c:pt idx="11">
                  <c:v>245679</c:v>
                </c:pt>
                <c:pt idx="12">
                  <c:v>243284</c:v>
                </c:pt>
                <c:pt idx="13">
                  <c:v>239618</c:v>
                </c:pt>
                <c:pt idx="14">
                  <c:v>237830</c:v>
                </c:pt>
                <c:pt idx="15">
                  <c:v>235801</c:v>
                </c:pt>
                <c:pt idx="16">
                  <c:v>233788</c:v>
                </c:pt>
                <c:pt idx="17">
                  <c:v>231867</c:v>
                </c:pt>
                <c:pt idx="18">
                  <c:v>228815</c:v>
                </c:pt>
                <c:pt idx="19">
                  <c:v>226082</c:v>
                </c:pt>
                <c:pt idx="20">
                  <c:v>223357</c:v>
                </c:pt>
                <c:pt idx="21">
                  <c:v>221168</c:v>
                </c:pt>
                <c:pt idx="22">
                  <c:v>217570</c:v>
                </c:pt>
                <c:pt idx="23">
                  <c:v>215092</c:v>
                </c:pt>
                <c:pt idx="24">
                  <c:v>212577</c:v>
                </c:pt>
                <c:pt idx="25">
                  <c:v>207753</c:v>
                </c:pt>
                <c:pt idx="26">
                  <c:v>205220</c:v>
                </c:pt>
                <c:pt idx="27">
                  <c:v>203133</c:v>
                </c:pt>
                <c:pt idx="28">
                  <c:v>200591</c:v>
                </c:pt>
                <c:pt idx="29">
                  <c:v>198584</c:v>
                </c:pt>
                <c:pt idx="30">
                  <c:v>196814</c:v>
                </c:pt>
                <c:pt idx="31">
                  <c:v>194838</c:v>
                </c:pt>
                <c:pt idx="32">
                  <c:v>192805</c:v>
                </c:pt>
                <c:pt idx="33">
                  <c:v>190925</c:v>
                </c:pt>
                <c:pt idx="34">
                  <c:v>189164</c:v>
                </c:pt>
                <c:pt idx="35">
                  <c:v>186393</c:v>
                </c:pt>
                <c:pt idx="36">
                  <c:v>184613</c:v>
                </c:pt>
                <c:pt idx="37">
                  <c:v>182753</c:v>
                </c:pt>
                <c:pt idx="38">
                  <c:v>180587</c:v>
                </c:pt>
                <c:pt idx="39">
                  <c:v>178206</c:v>
                </c:pt>
                <c:pt idx="40">
                  <c:v>176383</c:v>
                </c:pt>
                <c:pt idx="41">
                  <c:v>174215</c:v>
                </c:pt>
                <c:pt idx="42">
                  <c:v>172271</c:v>
                </c:pt>
                <c:pt idx="43">
                  <c:v>170130</c:v>
                </c:pt>
                <c:pt idx="44">
                  <c:v>167745</c:v>
                </c:pt>
                <c:pt idx="45">
                  <c:v>164863</c:v>
                </c:pt>
                <c:pt idx="46">
                  <c:v>161910</c:v>
                </c:pt>
                <c:pt idx="47">
                  <c:v>159033</c:v>
                </c:pt>
                <c:pt idx="48">
                  <c:v>156150</c:v>
                </c:pt>
                <c:pt idx="49">
                  <c:v>153153</c:v>
                </c:pt>
                <c:pt idx="50">
                  <c:v>150120</c:v>
                </c:pt>
                <c:pt idx="51">
                  <c:v>147096</c:v>
                </c:pt>
                <c:pt idx="52">
                  <c:v>144126</c:v>
                </c:pt>
                <c:pt idx="53">
                  <c:v>140216</c:v>
                </c:pt>
                <c:pt idx="54">
                  <c:v>137085</c:v>
                </c:pt>
                <c:pt idx="55">
                  <c:v>134335</c:v>
                </c:pt>
                <c:pt idx="56">
                  <c:v>132028</c:v>
                </c:pt>
                <c:pt idx="57">
                  <c:v>129874</c:v>
                </c:pt>
                <c:pt idx="58">
                  <c:v>128058</c:v>
                </c:pt>
                <c:pt idx="59">
                  <c:v>126513</c:v>
                </c:pt>
                <c:pt idx="60">
                  <c:v>124485</c:v>
                </c:pt>
                <c:pt idx="61">
                  <c:v>122416</c:v>
                </c:pt>
                <c:pt idx="62">
                  <c:v>120153</c:v>
                </c:pt>
                <c:pt idx="63">
                  <c:v>118771</c:v>
                </c:pt>
                <c:pt idx="64">
                  <c:v>117245</c:v>
                </c:pt>
                <c:pt idx="65">
                  <c:v>115329</c:v>
                </c:pt>
                <c:pt idx="66">
                  <c:v>113727</c:v>
                </c:pt>
                <c:pt idx="67">
                  <c:v>112265</c:v>
                </c:pt>
                <c:pt idx="68">
                  <c:v>110954</c:v>
                </c:pt>
                <c:pt idx="69">
                  <c:v>109683</c:v>
                </c:pt>
                <c:pt idx="70">
                  <c:v>108321</c:v>
                </c:pt>
                <c:pt idx="71">
                  <c:v>107056</c:v>
                </c:pt>
                <c:pt idx="72">
                  <c:v>105231</c:v>
                </c:pt>
                <c:pt idx="73">
                  <c:v>104621</c:v>
                </c:pt>
                <c:pt idx="74">
                  <c:v>104995</c:v>
                </c:pt>
                <c:pt idx="75">
                  <c:v>103994</c:v>
                </c:pt>
                <c:pt idx="76">
                  <c:v>103068</c:v>
                </c:pt>
                <c:pt idx="77">
                  <c:v>106018</c:v>
                </c:pt>
                <c:pt idx="78">
                  <c:v>101827</c:v>
                </c:pt>
                <c:pt idx="79">
                  <c:v>94090</c:v>
                </c:pt>
                <c:pt idx="80">
                  <c:v>93220</c:v>
                </c:pt>
                <c:pt idx="81">
                  <c:v>94640</c:v>
                </c:pt>
                <c:pt idx="82">
                  <c:v>98640</c:v>
                </c:pt>
                <c:pt idx="83">
                  <c:v>99900</c:v>
                </c:pt>
                <c:pt idx="84">
                  <c:v>98646</c:v>
                </c:pt>
                <c:pt idx="85">
                  <c:v>96596</c:v>
                </c:pt>
                <c:pt idx="86">
                  <c:v>97325</c:v>
                </c:pt>
                <c:pt idx="87">
                  <c:v>95621</c:v>
                </c:pt>
                <c:pt idx="88">
                  <c:v>96452</c:v>
                </c:pt>
                <c:pt idx="89">
                  <c:v>95861</c:v>
                </c:pt>
                <c:pt idx="90">
                  <c:v>95436</c:v>
                </c:pt>
                <c:pt idx="91">
                  <c:v>94793</c:v>
                </c:pt>
                <c:pt idx="92">
                  <c:v>94179</c:v>
                </c:pt>
                <c:pt idx="93">
                  <c:v>93686</c:v>
                </c:pt>
                <c:pt idx="94">
                  <c:v>94367</c:v>
                </c:pt>
                <c:pt idx="95">
                  <c:v>93189</c:v>
                </c:pt>
                <c:pt idx="96">
                  <c:v>92148</c:v>
                </c:pt>
                <c:pt idx="97">
                  <c:v>91938</c:v>
                </c:pt>
                <c:pt idx="98">
                  <c:v>90395</c:v>
                </c:pt>
                <c:pt idx="99">
                  <c:v>90049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7-467B-B154-5400ADC59E8F}"/>
            </c:ext>
          </c:extLst>
        </c:ser>
        <c:ser>
          <c:idx val="1"/>
          <c:order val="1"/>
          <c:tx>
            <c:strRef>
              <c:f>'Excel Assignment'!$C$1</c:f>
              <c:strCache>
                <c:ptCount val="1"/>
                <c:pt idx="0">
                  <c:v>labor_force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'Excel Assignment'!$C$2:$C$101</c:f>
              <c:numCache>
                <c:formatCode>General</c:formatCode>
                <c:ptCount val="100"/>
                <c:pt idx="0">
                  <c:v>168106</c:v>
                </c:pt>
                <c:pt idx="1">
                  <c:v>167116</c:v>
                </c:pt>
                <c:pt idx="2">
                  <c:v>164287</c:v>
                </c:pt>
                <c:pt idx="3">
                  <c:v>161204</c:v>
                </c:pt>
                <c:pt idx="4">
                  <c:v>160742</c:v>
                </c:pt>
                <c:pt idx="5">
                  <c:v>163539</c:v>
                </c:pt>
                <c:pt idx="6">
                  <c:v>162075</c:v>
                </c:pt>
                <c:pt idx="7">
                  <c:v>160320</c:v>
                </c:pt>
                <c:pt idx="8">
                  <c:v>159187</c:v>
                </c:pt>
                <c:pt idx="9">
                  <c:v>157130</c:v>
                </c:pt>
                <c:pt idx="10">
                  <c:v>155922</c:v>
                </c:pt>
                <c:pt idx="11">
                  <c:v>155389</c:v>
                </c:pt>
                <c:pt idx="12">
                  <c:v>154975</c:v>
                </c:pt>
                <c:pt idx="13">
                  <c:v>153617</c:v>
                </c:pt>
                <c:pt idx="14">
                  <c:v>153889</c:v>
                </c:pt>
                <c:pt idx="15">
                  <c:v>154142</c:v>
                </c:pt>
                <c:pt idx="16">
                  <c:v>154287</c:v>
                </c:pt>
                <c:pt idx="17">
                  <c:v>153124</c:v>
                </c:pt>
                <c:pt idx="18">
                  <c:v>151428</c:v>
                </c:pt>
                <c:pt idx="19">
                  <c:v>149320</c:v>
                </c:pt>
                <c:pt idx="20">
                  <c:v>147401</c:v>
                </c:pt>
                <c:pt idx="21">
                  <c:v>146510</c:v>
                </c:pt>
                <c:pt idx="22">
                  <c:v>144863</c:v>
                </c:pt>
                <c:pt idx="23">
                  <c:v>143734</c:v>
                </c:pt>
                <c:pt idx="24">
                  <c:v>142583</c:v>
                </c:pt>
                <c:pt idx="25">
                  <c:v>139368</c:v>
                </c:pt>
                <c:pt idx="26">
                  <c:v>137673</c:v>
                </c:pt>
                <c:pt idx="27">
                  <c:v>136297</c:v>
                </c:pt>
                <c:pt idx="28">
                  <c:v>133943</c:v>
                </c:pt>
                <c:pt idx="29">
                  <c:v>132304</c:v>
                </c:pt>
                <c:pt idx="30">
                  <c:v>131056</c:v>
                </c:pt>
                <c:pt idx="31">
                  <c:v>129200</c:v>
                </c:pt>
                <c:pt idx="32">
                  <c:v>128105</c:v>
                </c:pt>
                <c:pt idx="33">
                  <c:v>126346</c:v>
                </c:pt>
                <c:pt idx="34">
                  <c:v>125840</c:v>
                </c:pt>
                <c:pt idx="35">
                  <c:v>123869</c:v>
                </c:pt>
                <c:pt idx="36">
                  <c:v>121669</c:v>
                </c:pt>
                <c:pt idx="37">
                  <c:v>119865</c:v>
                </c:pt>
                <c:pt idx="38">
                  <c:v>117834</c:v>
                </c:pt>
                <c:pt idx="39">
                  <c:v>115461</c:v>
                </c:pt>
                <c:pt idx="40">
                  <c:v>113544</c:v>
                </c:pt>
                <c:pt idx="41">
                  <c:v>111550</c:v>
                </c:pt>
                <c:pt idx="42">
                  <c:v>110204</c:v>
                </c:pt>
                <c:pt idx="43">
                  <c:v>108670</c:v>
                </c:pt>
                <c:pt idx="44">
                  <c:v>106940</c:v>
                </c:pt>
                <c:pt idx="45">
                  <c:v>104962</c:v>
                </c:pt>
                <c:pt idx="46">
                  <c:v>102250</c:v>
                </c:pt>
                <c:pt idx="47">
                  <c:v>99008</c:v>
                </c:pt>
                <c:pt idx="48">
                  <c:v>96158</c:v>
                </c:pt>
                <c:pt idx="49">
                  <c:v>93774</c:v>
                </c:pt>
                <c:pt idx="50">
                  <c:v>91949</c:v>
                </c:pt>
                <c:pt idx="51">
                  <c:v>89429</c:v>
                </c:pt>
                <c:pt idx="52">
                  <c:v>87034</c:v>
                </c:pt>
                <c:pt idx="53">
                  <c:v>84382</c:v>
                </c:pt>
                <c:pt idx="54">
                  <c:v>82771</c:v>
                </c:pt>
                <c:pt idx="55">
                  <c:v>80734</c:v>
                </c:pt>
                <c:pt idx="56">
                  <c:v>78737</c:v>
                </c:pt>
                <c:pt idx="57">
                  <c:v>77347</c:v>
                </c:pt>
                <c:pt idx="58">
                  <c:v>75770</c:v>
                </c:pt>
                <c:pt idx="59">
                  <c:v>74455</c:v>
                </c:pt>
                <c:pt idx="60">
                  <c:v>73091</c:v>
                </c:pt>
                <c:pt idx="61">
                  <c:v>71833</c:v>
                </c:pt>
                <c:pt idx="62">
                  <c:v>70614</c:v>
                </c:pt>
                <c:pt idx="63">
                  <c:v>70459</c:v>
                </c:pt>
                <c:pt idx="64">
                  <c:v>69628</c:v>
                </c:pt>
                <c:pt idx="65">
                  <c:v>68369</c:v>
                </c:pt>
                <c:pt idx="66">
                  <c:v>67639</c:v>
                </c:pt>
                <c:pt idx="67">
                  <c:v>66929</c:v>
                </c:pt>
                <c:pt idx="68">
                  <c:v>66552</c:v>
                </c:pt>
                <c:pt idx="69">
                  <c:v>65023</c:v>
                </c:pt>
                <c:pt idx="70">
                  <c:v>63643</c:v>
                </c:pt>
                <c:pt idx="71">
                  <c:v>63015</c:v>
                </c:pt>
                <c:pt idx="72">
                  <c:v>62138</c:v>
                </c:pt>
                <c:pt idx="73">
                  <c:v>62017</c:v>
                </c:pt>
                <c:pt idx="74">
                  <c:v>62208</c:v>
                </c:pt>
                <c:pt idx="75">
                  <c:v>61286</c:v>
                </c:pt>
                <c:pt idx="76">
                  <c:v>60621</c:v>
                </c:pt>
                <c:pt idx="77">
                  <c:v>60168</c:v>
                </c:pt>
                <c:pt idx="78">
                  <c:v>59350</c:v>
                </c:pt>
                <c:pt idx="79">
                  <c:v>53860</c:v>
                </c:pt>
                <c:pt idx="80">
                  <c:v>54630</c:v>
                </c:pt>
                <c:pt idx="81">
                  <c:v>55540</c:v>
                </c:pt>
                <c:pt idx="82">
                  <c:v>56410</c:v>
                </c:pt>
                <c:pt idx="83">
                  <c:v>55910</c:v>
                </c:pt>
                <c:pt idx="84">
                  <c:v>55864</c:v>
                </c:pt>
                <c:pt idx="85">
                  <c:v>55713</c:v>
                </c:pt>
                <c:pt idx="86">
                  <c:v>54931</c:v>
                </c:pt>
                <c:pt idx="87">
                  <c:v>54138</c:v>
                </c:pt>
                <c:pt idx="88">
                  <c:v>53961</c:v>
                </c:pt>
                <c:pt idx="89">
                  <c:v>53397</c:v>
                </c:pt>
                <c:pt idx="90">
                  <c:v>52861</c:v>
                </c:pt>
                <c:pt idx="91">
                  <c:v>52279</c:v>
                </c:pt>
                <c:pt idx="92">
                  <c:v>51931</c:v>
                </c:pt>
                <c:pt idx="93">
                  <c:v>51276</c:v>
                </c:pt>
                <c:pt idx="94">
                  <c:v>50792</c:v>
                </c:pt>
                <c:pt idx="95">
                  <c:v>50079</c:v>
                </c:pt>
                <c:pt idx="96">
                  <c:v>49993</c:v>
                </c:pt>
                <c:pt idx="97">
                  <c:v>49328</c:v>
                </c:pt>
                <c:pt idx="98">
                  <c:v>49103</c:v>
                </c:pt>
                <c:pt idx="99">
                  <c:v>48937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7-467B-B154-5400ADC59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09175999"/>
        <c:axId val="2109176479"/>
      </c:barChart>
      <c:catAx>
        <c:axId val="2109175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176479"/>
        <c:crosses val="autoZero"/>
        <c:auto val="1"/>
        <c:lblAlgn val="ctr"/>
        <c:lblOffset val="100"/>
        <c:noMultiLvlLbl val="0"/>
      </c:catAx>
      <c:valAx>
        <c:axId val="21091764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17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18585</xdr:colOff>
      <xdr:row>19</xdr:row>
      <xdr:rowOff>166339</xdr:rowOff>
    </xdr:from>
    <xdr:to>
      <xdr:col>16</xdr:col>
      <xdr:colOff>501805</xdr:colOff>
      <xdr:row>34</xdr:row>
      <xdr:rowOff>121734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7238E7B-8FBD-0389-5100-4EDD59914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18585</xdr:colOff>
      <xdr:row>35</xdr:row>
      <xdr:rowOff>175633</xdr:rowOff>
    </xdr:from>
    <xdr:to>
      <xdr:col>16</xdr:col>
      <xdr:colOff>501805</xdr:colOff>
      <xdr:row>50</xdr:row>
      <xdr:rowOff>131028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2BDFF1-E60A-A17C-65B3-CECFEC318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27877</xdr:colOff>
      <xdr:row>52</xdr:row>
      <xdr:rowOff>17656</xdr:rowOff>
    </xdr:from>
    <xdr:to>
      <xdr:col>16</xdr:col>
      <xdr:colOff>511097</xdr:colOff>
      <xdr:row>66</xdr:row>
      <xdr:rowOff>158905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7B4147-4A98-624B-0E9E-50647C5CE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9E229-2FC2-4AD2-BDDF-7F2BE625CFC9}" name="Table1" displayName="Table1" ref="A1:K102" totalsRowCount="1">
  <autoFilter ref="A1:K101" xr:uid="{7BA9E229-2FC2-4AD2-BDDF-7F2BE625CFC9}"/>
  <tableColumns count="11">
    <tableColumn id="1" xr3:uid="{A62FDFC7-B41A-48CC-84D9-A2146075EB86}" name="year" totalsRowFunction="custom">
      <totalsRowFormula>AVERAGE(A2:A101)</totalsRowFormula>
    </tableColumn>
    <tableColumn id="2" xr3:uid="{AD23A9CE-BC8C-41FB-9E32-2B1C81EA2839}" name="population" totalsRowFunction="custom">
      <totalsRowFormula>AVERAGE(B2:B101)</totalsRowFormula>
    </tableColumn>
    <tableColumn id="3" xr3:uid="{5A8AD4F7-0804-4A48-BD34-32BEA6E05909}" name="labor_force" totalsRowFunction="custom">
      <totalsRowFormula>AVERAGE(C2:C101)</totalsRowFormula>
    </tableColumn>
    <tableColumn id="4" xr3:uid="{9DECF499-4FFB-4034-9E0B-80423696EC96}" name="population_percent" totalsRowFunction="custom">
      <totalsRowFormula>AVERAGE(D2:D101)</totalsRowFormula>
    </tableColumn>
    <tableColumn id="5" xr3:uid="{69BF2526-AA63-486D-B365-ED1E68818361}" name="employed_total" totalsRowFunction="custom">
      <totalsRowFormula>AVERAGE(E2:E101)</totalsRowFormula>
    </tableColumn>
    <tableColumn id="6" xr3:uid="{B61DFBB2-5A3A-486D-BC90-0D6F5557C565}" name="employed_percent" totalsRowFunction="custom">
      <totalsRowFormula>AVERAGE(F2:F101)</totalsRowFormula>
    </tableColumn>
    <tableColumn id="7" xr3:uid="{03EB3DB5-DF03-4029-A54E-A73660D7CA64}" name="agrictulture_ratio" totalsRowFunction="custom">
      <totalsRowFormula>AVERAGE(G2:G101)</totalsRowFormula>
    </tableColumn>
    <tableColumn id="8" xr3:uid="{6D04C924-CA8B-417B-8DED-F5CED3F361D4}" name="nonagriculture_ratio" totalsRowFunction="custom">
      <calculatedColumnFormula>SUM(C2,-G2)</calculatedColumnFormula>
      <totalsRowFormula>AVERAGE(H2:H101)</totalsRowFormula>
    </tableColumn>
    <tableColumn id="9" xr3:uid="{147357E5-CD62-4D27-899D-8F2DD7B4EF45}" name="unemployed" totalsRowFunction="custom">
      <calculatedColumnFormula>SUM(C2,-H2)</calculatedColumnFormula>
      <totalsRowFormula>AVERAGE(I2:I101)</totalsRowFormula>
    </tableColumn>
    <tableColumn id="10" xr3:uid="{F2CB0C17-8CCD-467A-9F2A-2A212EDF8F75}" name="unemployed_percent" totalsRowFunction="custom">
      <totalsRowFormula>AVERAGE(J2:J101)</totalsRowFormula>
    </tableColumn>
    <tableColumn id="11" xr3:uid="{6189021A-2558-48FC-A1D5-A2B0C6970772}" name="not_in_labor" totalsRowFunction="custom">
      <calculatedColumnFormula>SUM(B2,-C2)</calculatedColumnFormula>
      <totalsRowFormula>AVERAGE(K2:K101)</totalsRow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212-3207-460C-9D74-C65D11B7CD02}">
  <dimension ref="A1:W112"/>
  <sheetViews>
    <sheetView tabSelected="1" topLeftCell="A83" zoomScale="94" zoomScaleNormal="61" workbookViewId="0">
      <selection activeCell="M19" sqref="M19"/>
    </sheetView>
  </sheetViews>
  <sheetFormatPr defaultRowHeight="14.4" x14ac:dyDescent="0.3"/>
  <cols>
    <col min="2" max="2" width="13.77734375" customWidth="1"/>
    <col min="3" max="3" width="13.88671875" customWidth="1"/>
    <col min="4" max="4" width="22" customWidth="1"/>
    <col min="5" max="5" width="18.109375" customWidth="1"/>
    <col min="6" max="6" width="20.77734375" customWidth="1"/>
    <col min="7" max="7" width="19.77734375" customWidth="1"/>
    <col min="8" max="8" width="22.77734375" customWidth="1"/>
    <col min="9" max="9" width="15" customWidth="1"/>
    <col min="10" max="10" width="23.33203125" customWidth="1"/>
    <col min="11" max="11" width="15.33203125" customWidth="1"/>
    <col min="13" max="13" width="20.33203125" customWidth="1"/>
    <col min="14" max="14" width="13.33203125" customWidth="1"/>
    <col min="16" max="16" width="17.109375" customWidth="1"/>
    <col min="19" max="19" width="17" customWidth="1"/>
    <col min="20" max="20" width="11.109375" customWidth="1"/>
    <col min="22" max="22" width="16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3" x14ac:dyDescent="0.3">
      <c r="A2">
        <v>2024</v>
      </c>
      <c r="B2">
        <v>268571</v>
      </c>
      <c r="C2">
        <v>168106</v>
      </c>
      <c r="D2">
        <v>62.6</v>
      </c>
      <c r="E2">
        <v>161346</v>
      </c>
      <c r="F2">
        <v>60.1</v>
      </c>
      <c r="G2">
        <v>2254</v>
      </c>
      <c r="H2">
        <v>159091</v>
      </c>
      <c r="I2">
        <v>6761</v>
      </c>
      <c r="J2">
        <v>4</v>
      </c>
      <c r="K2">
        <v>100465</v>
      </c>
    </row>
    <row r="3" spans="1:23" ht="15" thickBot="1" x14ac:dyDescent="0.35">
      <c r="A3">
        <v>2023</v>
      </c>
      <c r="B3">
        <v>266942</v>
      </c>
      <c r="C3">
        <v>167116</v>
      </c>
      <c r="D3">
        <v>62.6</v>
      </c>
      <c r="E3">
        <v>161037</v>
      </c>
      <c r="F3">
        <v>60.3</v>
      </c>
      <c r="G3">
        <v>2264</v>
      </c>
      <c r="H3">
        <v>158772</v>
      </c>
      <c r="I3">
        <v>6080</v>
      </c>
      <c r="J3">
        <v>3.6</v>
      </c>
      <c r="K3">
        <v>99826</v>
      </c>
    </row>
    <row r="4" spans="1:23" x14ac:dyDescent="0.3">
      <c r="A4">
        <v>2022</v>
      </c>
      <c r="B4">
        <v>263973</v>
      </c>
      <c r="C4">
        <v>164287</v>
      </c>
      <c r="D4">
        <v>62.2</v>
      </c>
      <c r="E4">
        <v>158291</v>
      </c>
      <c r="F4">
        <v>60</v>
      </c>
      <c r="G4">
        <v>2290</v>
      </c>
      <c r="H4">
        <v>156001</v>
      </c>
      <c r="I4">
        <v>5996</v>
      </c>
      <c r="J4">
        <v>3.6</v>
      </c>
      <c r="K4">
        <v>99686</v>
      </c>
      <c r="M4" s="4" t="s">
        <v>28</v>
      </c>
      <c r="N4" s="4"/>
      <c r="P4" s="4" t="s">
        <v>29</v>
      </c>
      <c r="Q4" s="4"/>
      <c r="S4" s="4" t="s">
        <v>30</v>
      </c>
      <c r="T4" s="4"/>
      <c r="V4" s="4" t="s">
        <v>31</v>
      </c>
      <c r="W4" s="4"/>
    </row>
    <row r="5" spans="1:23" x14ac:dyDescent="0.3">
      <c r="A5">
        <v>2021</v>
      </c>
      <c r="B5">
        <v>261445</v>
      </c>
      <c r="C5">
        <v>161204</v>
      </c>
      <c r="D5">
        <v>61.7</v>
      </c>
      <c r="E5">
        <v>152581</v>
      </c>
      <c r="F5">
        <v>58.4</v>
      </c>
      <c r="G5">
        <v>2291</v>
      </c>
      <c r="H5">
        <v>150290</v>
      </c>
      <c r="I5">
        <v>8623</v>
      </c>
      <c r="J5">
        <v>5.3</v>
      </c>
      <c r="K5">
        <v>100241</v>
      </c>
      <c r="M5" s="2"/>
      <c r="N5" s="2"/>
      <c r="P5" s="2"/>
      <c r="Q5" s="2"/>
      <c r="S5" s="2"/>
      <c r="T5" s="2"/>
      <c r="V5" s="2"/>
      <c r="W5" s="2"/>
    </row>
    <row r="6" spans="1:23" x14ac:dyDescent="0.3">
      <c r="A6">
        <v>2020</v>
      </c>
      <c r="B6">
        <v>260329</v>
      </c>
      <c r="C6">
        <v>160742</v>
      </c>
      <c r="D6">
        <v>61.7</v>
      </c>
      <c r="E6">
        <v>147795</v>
      </c>
      <c r="F6">
        <v>56.8</v>
      </c>
      <c r="G6">
        <v>2349</v>
      </c>
      <c r="H6">
        <v>145446</v>
      </c>
      <c r="I6">
        <v>12947</v>
      </c>
      <c r="J6">
        <v>8.1</v>
      </c>
      <c r="K6">
        <v>99587</v>
      </c>
      <c r="M6" s="2" t="s">
        <v>16</v>
      </c>
      <c r="N6" s="2">
        <v>160771.32</v>
      </c>
      <c r="P6" s="2" t="s">
        <v>16</v>
      </c>
      <c r="Q6" s="2">
        <v>100289.04</v>
      </c>
      <c r="S6" s="2" t="s">
        <v>16</v>
      </c>
      <c r="T6" s="2">
        <v>94279.14</v>
      </c>
      <c r="V6" s="2" t="s">
        <v>16</v>
      </c>
      <c r="W6" s="2">
        <v>6867.55</v>
      </c>
    </row>
    <row r="7" spans="1:23" x14ac:dyDescent="0.3">
      <c r="A7">
        <v>2019</v>
      </c>
      <c r="B7">
        <v>259175</v>
      </c>
      <c r="C7">
        <v>163539</v>
      </c>
      <c r="D7">
        <v>63.1</v>
      </c>
      <c r="E7">
        <v>157538</v>
      </c>
      <c r="F7">
        <v>60.8</v>
      </c>
      <c r="G7">
        <v>2425</v>
      </c>
      <c r="H7">
        <v>155113</v>
      </c>
      <c r="I7">
        <v>6001</v>
      </c>
      <c r="J7">
        <v>3.7</v>
      </c>
      <c r="K7">
        <v>95636</v>
      </c>
      <c r="M7" s="2" t="s">
        <v>17</v>
      </c>
      <c r="N7" s="2">
        <v>5829.1208874218555</v>
      </c>
      <c r="P7" s="2" t="s">
        <v>17</v>
      </c>
      <c r="Q7" s="2">
        <v>4071.3768199075857</v>
      </c>
      <c r="S7" s="2" t="s">
        <v>17</v>
      </c>
      <c r="T7" s="2">
        <v>3860.3800360889791</v>
      </c>
      <c r="V7" s="2" t="s">
        <v>17</v>
      </c>
      <c r="W7" s="2">
        <v>344.09544082854381</v>
      </c>
    </row>
    <row r="8" spans="1:23" x14ac:dyDescent="0.3">
      <c r="A8">
        <v>2018</v>
      </c>
      <c r="B8">
        <v>257791</v>
      </c>
      <c r="C8">
        <v>162075</v>
      </c>
      <c r="D8">
        <v>62.9</v>
      </c>
      <c r="E8">
        <v>155761</v>
      </c>
      <c r="F8">
        <v>60.4</v>
      </c>
      <c r="G8">
        <v>2425</v>
      </c>
      <c r="H8">
        <v>153336</v>
      </c>
      <c r="I8">
        <v>6314</v>
      </c>
      <c r="J8">
        <v>3.9</v>
      </c>
      <c r="K8">
        <v>95716</v>
      </c>
      <c r="M8" s="2" t="s">
        <v>12</v>
      </c>
      <c r="N8" s="2">
        <v>151636.5</v>
      </c>
      <c r="P8" s="2" t="s">
        <v>12</v>
      </c>
      <c r="Q8" s="2">
        <v>92861.5</v>
      </c>
      <c r="S8" s="2" t="s">
        <v>12</v>
      </c>
      <c r="T8" s="2">
        <v>86320</v>
      </c>
      <c r="V8" s="2" t="s">
        <v>12</v>
      </c>
      <c r="W8" s="2">
        <v>6986.5</v>
      </c>
    </row>
    <row r="9" spans="1:23" x14ac:dyDescent="0.3">
      <c r="A9">
        <v>2017</v>
      </c>
      <c r="B9">
        <v>255079</v>
      </c>
      <c r="C9">
        <v>160320</v>
      </c>
      <c r="D9">
        <v>62.9</v>
      </c>
      <c r="E9">
        <v>153337</v>
      </c>
      <c r="F9">
        <v>60.1</v>
      </c>
      <c r="G9">
        <v>2454</v>
      </c>
      <c r="H9">
        <v>150883</v>
      </c>
      <c r="I9">
        <v>6982</v>
      </c>
      <c r="J9">
        <v>4.4000000000000004</v>
      </c>
      <c r="K9">
        <v>94759</v>
      </c>
      <c r="M9" s="2" t="s">
        <v>18</v>
      </c>
      <c r="N9" s="2" t="e">
        <v>#N/A</v>
      </c>
      <c r="P9" s="2" t="s">
        <v>18</v>
      </c>
      <c r="Q9" s="2" t="e">
        <v>#N/A</v>
      </c>
      <c r="S9" s="2" t="s">
        <v>18</v>
      </c>
      <c r="T9" s="2" t="e">
        <v>#N/A</v>
      </c>
      <c r="V9" s="2" t="s">
        <v>18</v>
      </c>
      <c r="W9" s="2" t="e">
        <v>#N/A</v>
      </c>
    </row>
    <row r="10" spans="1:23" x14ac:dyDescent="0.3">
      <c r="A10">
        <v>2016</v>
      </c>
      <c r="B10">
        <v>253538</v>
      </c>
      <c r="C10">
        <v>159187</v>
      </c>
      <c r="D10">
        <v>62.8</v>
      </c>
      <c r="E10">
        <v>151436</v>
      </c>
      <c r="F10">
        <v>59.7</v>
      </c>
      <c r="G10">
        <v>2460</v>
      </c>
      <c r="H10">
        <v>148976</v>
      </c>
      <c r="I10">
        <v>7751</v>
      </c>
      <c r="J10">
        <v>4.9000000000000004</v>
      </c>
      <c r="K10">
        <v>94351</v>
      </c>
      <c r="M10" s="2" t="s">
        <v>19</v>
      </c>
      <c r="N10" s="2">
        <v>58291.208874218552</v>
      </c>
      <c r="P10" s="2" t="s">
        <v>19</v>
      </c>
      <c r="Q10" s="2">
        <v>40713.768199075857</v>
      </c>
      <c r="S10" s="2" t="s">
        <v>19</v>
      </c>
      <c r="T10" s="2">
        <v>38603.800360889793</v>
      </c>
      <c r="V10" s="2" t="s">
        <v>19</v>
      </c>
      <c r="W10" s="2">
        <v>3440.9544082854381</v>
      </c>
    </row>
    <row r="11" spans="1:23" x14ac:dyDescent="0.3">
      <c r="A11">
        <v>2015</v>
      </c>
      <c r="B11">
        <v>250801</v>
      </c>
      <c r="C11">
        <v>157130</v>
      </c>
      <c r="D11">
        <v>62.7</v>
      </c>
      <c r="E11">
        <v>148834</v>
      </c>
      <c r="F11">
        <v>59.3</v>
      </c>
      <c r="G11">
        <v>2422</v>
      </c>
      <c r="H11">
        <v>146411</v>
      </c>
      <c r="I11">
        <v>8296</v>
      </c>
      <c r="J11">
        <v>5.3</v>
      </c>
      <c r="K11">
        <v>93671</v>
      </c>
      <c r="M11" s="2" t="s">
        <v>20</v>
      </c>
      <c r="N11" s="2">
        <v>3397865032.0177755</v>
      </c>
      <c r="P11" s="2" t="s">
        <v>20</v>
      </c>
      <c r="Q11" s="2">
        <v>1657610920.9680805</v>
      </c>
      <c r="S11" s="2" t="s">
        <v>20</v>
      </c>
      <c r="T11" s="2">
        <v>1490253402.3034348</v>
      </c>
      <c r="V11" s="2" t="s">
        <v>20</v>
      </c>
      <c r="W11" s="2">
        <v>11840167.239898989</v>
      </c>
    </row>
    <row r="12" spans="1:23" x14ac:dyDescent="0.3">
      <c r="A12">
        <v>2014</v>
      </c>
      <c r="B12">
        <v>247947</v>
      </c>
      <c r="C12">
        <v>155922</v>
      </c>
      <c r="D12">
        <v>62.9</v>
      </c>
      <c r="E12">
        <v>146305</v>
      </c>
      <c r="F12">
        <v>59</v>
      </c>
      <c r="G12">
        <v>2237</v>
      </c>
      <c r="H12">
        <v>144068</v>
      </c>
      <c r="I12">
        <v>9617</v>
      </c>
      <c r="J12">
        <v>6.2</v>
      </c>
      <c r="K12">
        <v>92025</v>
      </c>
      <c r="M12" s="2" t="s">
        <v>21</v>
      </c>
      <c r="N12" s="2">
        <v>-1.2840896845173788</v>
      </c>
      <c r="P12" s="2" t="s">
        <v>21</v>
      </c>
      <c r="Q12" s="2">
        <v>-1.513831816313959</v>
      </c>
      <c r="S12" s="2" t="s">
        <v>21</v>
      </c>
      <c r="T12" s="2">
        <v>-1.4565882536841919</v>
      </c>
      <c r="V12" s="2" t="s">
        <v>21</v>
      </c>
      <c r="W12" s="2">
        <v>-0.22404007040669027</v>
      </c>
    </row>
    <row r="13" spans="1:23" x14ac:dyDescent="0.3">
      <c r="A13">
        <v>2013</v>
      </c>
      <c r="B13">
        <v>245679</v>
      </c>
      <c r="C13">
        <v>155389</v>
      </c>
      <c r="D13">
        <v>63.2</v>
      </c>
      <c r="E13">
        <v>143929</v>
      </c>
      <c r="F13">
        <v>58.6</v>
      </c>
      <c r="G13">
        <v>2130</v>
      </c>
      <c r="H13">
        <v>141799</v>
      </c>
      <c r="I13">
        <v>11460</v>
      </c>
      <c r="J13">
        <v>7.4</v>
      </c>
      <c r="K13">
        <v>90290</v>
      </c>
      <c r="M13" s="2" t="s">
        <v>22</v>
      </c>
      <c r="N13" s="2">
        <v>0.37528340365487617</v>
      </c>
      <c r="P13" s="2" t="s">
        <v>22</v>
      </c>
      <c r="Q13" s="2">
        <v>0.24517773892432598</v>
      </c>
      <c r="S13" s="2" t="s">
        <v>22</v>
      </c>
      <c r="T13" s="2">
        <v>0.25891259727517257</v>
      </c>
      <c r="V13" s="2" t="s">
        <v>22</v>
      </c>
      <c r="W13" s="2">
        <v>0.37146021339223756</v>
      </c>
    </row>
    <row r="14" spans="1:23" x14ac:dyDescent="0.3">
      <c r="A14">
        <v>2012</v>
      </c>
      <c r="B14">
        <v>243284</v>
      </c>
      <c r="C14">
        <v>154975</v>
      </c>
      <c r="D14">
        <v>63.7</v>
      </c>
      <c r="E14">
        <v>142469</v>
      </c>
      <c r="F14">
        <v>58.6</v>
      </c>
      <c r="G14">
        <v>2186</v>
      </c>
      <c r="H14">
        <v>140283</v>
      </c>
      <c r="I14">
        <v>12506</v>
      </c>
      <c r="J14">
        <v>8.1</v>
      </c>
      <c r="K14">
        <v>88310</v>
      </c>
      <c r="M14" s="2" t="s">
        <v>23</v>
      </c>
      <c r="N14" s="2">
        <v>178522</v>
      </c>
      <c r="P14" s="2" t="s">
        <v>23</v>
      </c>
      <c r="Q14" s="2">
        <v>119169</v>
      </c>
      <c r="S14" s="2" t="s">
        <v>23</v>
      </c>
      <c r="T14" s="2">
        <v>116583</v>
      </c>
      <c r="V14" s="2" t="s">
        <v>23</v>
      </c>
      <c r="W14" s="2">
        <v>15124</v>
      </c>
    </row>
    <row r="15" spans="1:23" x14ac:dyDescent="0.3">
      <c r="A15">
        <v>2011</v>
      </c>
      <c r="B15">
        <v>239618</v>
      </c>
      <c r="C15">
        <v>153617</v>
      </c>
      <c r="D15">
        <v>64.099999999999994</v>
      </c>
      <c r="E15">
        <v>139869</v>
      </c>
      <c r="F15">
        <v>58.4</v>
      </c>
      <c r="G15">
        <v>2254</v>
      </c>
      <c r="H15">
        <v>137615</v>
      </c>
      <c r="I15">
        <v>13747</v>
      </c>
      <c r="J15">
        <v>8.9</v>
      </c>
      <c r="K15">
        <v>86001</v>
      </c>
      <c r="M15" s="2" t="s">
        <v>24</v>
      </c>
      <c r="N15" s="2">
        <v>90049</v>
      </c>
      <c r="P15" s="2" t="s">
        <v>24</v>
      </c>
      <c r="Q15" s="2">
        <v>48937</v>
      </c>
      <c r="S15" s="2" t="s">
        <v>24</v>
      </c>
      <c r="T15" s="2">
        <v>44763</v>
      </c>
      <c r="V15" s="2" t="s">
        <v>24</v>
      </c>
      <c r="W15" s="2">
        <v>670</v>
      </c>
    </row>
    <row r="16" spans="1:23" x14ac:dyDescent="0.3">
      <c r="A16">
        <v>2010</v>
      </c>
      <c r="B16">
        <v>237830</v>
      </c>
      <c r="C16">
        <v>153889</v>
      </c>
      <c r="D16">
        <v>64.7</v>
      </c>
      <c r="E16">
        <v>139064</v>
      </c>
      <c r="F16">
        <v>58.5</v>
      </c>
      <c r="G16">
        <v>2206</v>
      </c>
      <c r="H16">
        <v>136858</v>
      </c>
      <c r="I16">
        <v>14825</v>
      </c>
      <c r="J16">
        <v>9.6</v>
      </c>
      <c r="K16">
        <v>83941</v>
      </c>
      <c r="M16" s="2" t="s">
        <v>25</v>
      </c>
      <c r="N16" s="2">
        <v>268571</v>
      </c>
      <c r="P16" s="2" t="s">
        <v>25</v>
      </c>
      <c r="Q16" s="2">
        <v>168106</v>
      </c>
      <c r="S16" s="2" t="s">
        <v>25</v>
      </c>
      <c r="T16" s="2">
        <v>161346</v>
      </c>
      <c r="V16" s="2" t="s">
        <v>25</v>
      </c>
      <c r="W16" s="2">
        <v>15794</v>
      </c>
    </row>
    <row r="17" spans="1:23" x14ac:dyDescent="0.3">
      <c r="A17">
        <v>2009</v>
      </c>
      <c r="B17">
        <v>235801</v>
      </c>
      <c r="C17">
        <v>154142</v>
      </c>
      <c r="D17">
        <v>65.400000000000006</v>
      </c>
      <c r="E17">
        <v>139877</v>
      </c>
      <c r="F17">
        <v>59.3</v>
      </c>
      <c r="G17">
        <v>2103</v>
      </c>
      <c r="H17">
        <v>137775</v>
      </c>
      <c r="I17">
        <v>14265</v>
      </c>
      <c r="J17">
        <v>9.3000000000000007</v>
      </c>
      <c r="K17">
        <v>81659</v>
      </c>
      <c r="M17" s="2" t="s">
        <v>26</v>
      </c>
      <c r="N17" s="2">
        <v>16077132</v>
      </c>
      <c r="P17" s="2" t="s">
        <v>26</v>
      </c>
      <c r="Q17" s="2">
        <v>10028904</v>
      </c>
      <c r="S17" s="2" t="s">
        <v>26</v>
      </c>
      <c r="T17" s="2">
        <v>9427914</v>
      </c>
      <c r="V17" s="2" t="s">
        <v>26</v>
      </c>
      <c r="W17" s="2">
        <v>686755</v>
      </c>
    </row>
    <row r="18" spans="1:23" ht="15" thickBot="1" x14ac:dyDescent="0.35">
      <c r="A18">
        <v>2008</v>
      </c>
      <c r="B18">
        <v>233788</v>
      </c>
      <c r="C18">
        <v>154287</v>
      </c>
      <c r="D18">
        <v>66</v>
      </c>
      <c r="E18">
        <v>145362</v>
      </c>
      <c r="F18">
        <v>62.2</v>
      </c>
      <c r="G18">
        <v>2168</v>
      </c>
      <c r="H18">
        <v>143194</v>
      </c>
      <c r="I18">
        <v>8924</v>
      </c>
      <c r="J18">
        <v>5.8</v>
      </c>
      <c r="K18">
        <v>79501</v>
      </c>
      <c r="M18" s="3" t="s">
        <v>27</v>
      </c>
      <c r="N18" s="3">
        <v>100</v>
      </c>
      <c r="P18" s="3" t="s">
        <v>27</v>
      </c>
      <c r="Q18" s="3">
        <v>100</v>
      </c>
      <c r="S18" s="3" t="s">
        <v>27</v>
      </c>
      <c r="T18" s="3">
        <v>100</v>
      </c>
      <c r="V18" s="3" t="s">
        <v>27</v>
      </c>
      <c r="W18" s="3">
        <v>100</v>
      </c>
    </row>
    <row r="19" spans="1:23" x14ac:dyDescent="0.3">
      <c r="A19">
        <v>2007</v>
      </c>
      <c r="B19">
        <v>231867</v>
      </c>
      <c r="C19">
        <v>153124</v>
      </c>
      <c r="D19">
        <v>66</v>
      </c>
      <c r="E19">
        <v>146047</v>
      </c>
      <c r="F19">
        <v>63</v>
      </c>
      <c r="G19">
        <v>2095</v>
      </c>
      <c r="H19">
        <v>143952</v>
      </c>
      <c r="I19">
        <v>7078</v>
      </c>
      <c r="J19">
        <v>4.5999999999999996</v>
      </c>
      <c r="K19">
        <v>78743</v>
      </c>
    </row>
    <row r="20" spans="1:23" x14ac:dyDescent="0.3">
      <c r="A20">
        <v>2006</v>
      </c>
      <c r="B20">
        <v>228815</v>
      </c>
      <c r="C20">
        <v>151428</v>
      </c>
      <c r="D20">
        <v>66.2</v>
      </c>
      <c r="E20">
        <v>144427</v>
      </c>
      <c r="F20">
        <v>63.1</v>
      </c>
      <c r="G20">
        <v>2206</v>
      </c>
      <c r="H20">
        <v>142221</v>
      </c>
      <c r="I20">
        <v>7001</v>
      </c>
      <c r="J20">
        <v>4.5999999999999996</v>
      </c>
      <c r="K20">
        <v>77387</v>
      </c>
    </row>
    <row r="21" spans="1:23" x14ac:dyDescent="0.3">
      <c r="A21">
        <v>2005</v>
      </c>
      <c r="B21">
        <v>226082</v>
      </c>
      <c r="C21">
        <v>149320</v>
      </c>
      <c r="D21">
        <v>66</v>
      </c>
      <c r="E21">
        <v>141730</v>
      </c>
      <c r="F21">
        <v>62.7</v>
      </c>
      <c r="G21">
        <v>2197</v>
      </c>
      <c r="H21">
        <v>139532</v>
      </c>
      <c r="I21">
        <v>7591</v>
      </c>
      <c r="J21">
        <v>5.0999999999999996</v>
      </c>
      <c r="K21">
        <v>76762</v>
      </c>
    </row>
    <row r="22" spans="1:23" x14ac:dyDescent="0.3">
      <c r="A22">
        <v>2004</v>
      </c>
      <c r="B22">
        <v>223357</v>
      </c>
      <c r="C22">
        <v>147401</v>
      </c>
      <c r="D22">
        <v>66</v>
      </c>
      <c r="E22">
        <v>139252</v>
      </c>
      <c r="F22">
        <v>62.3</v>
      </c>
      <c r="G22">
        <v>2232</v>
      </c>
      <c r="H22">
        <v>137020</v>
      </c>
      <c r="I22">
        <v>8149</v>
      </c>
      <c r="J22">
        <v>5.5</v>
      </c>
      <c r="K22">
        <v>75956</v>
      </c>
    </row>
    <row r="23" spans="1:23" x14ac:dyDescent="0.3">
      <c r="A23">
        <v>2003</v>
      </c>
      <c r="B23">
        <v>221168</v>
      </c>
      <c r="C23">
        <v>146510</v>
      </c>
      <c r="D23">
        <v>66.2</v>
      </c>
      <c r="E23">
        <v>137736</v>
      </c>
      <c r="F23">
        <v>62.3</v>
      </c>
      <c r="G23">
        <v>2275</v>
      </c>
      <c r="H23">
        <v>135461</v>
      </c>
      <c r="I23">
        <v>8774</v>
      </c>
      <c r="J23">
        <v>6</v>
      </c>
      <c r="K23">
        <v>74658</v>
      </c>
    </row>
    <row r="24" spans="1:23" x14ac:dyDescent="0.3">
      <c r="A24">
        <v>2002</v>
      </c>
      <c r="B24">
        <v>217570</v>
      </c>
      <c r="C24">
        <v>144863</v>
      </c>
      <c r="D24">
        <v>66.599999999999994</v>
      </c>
      <c r="E24">
        <v>136485</v>
      </c>
      <c r="F24">
        <v>62.7</v>
      </c>
      <c r="G24">
        <v>2311</v>
      </c>
      <c r="H24">
        <v>134174</v>
      </c>
      <c r="I24">
        <v>8378</v>
      </c>
      <c r="J24">
        <v>5.8</v>
      </c>
      <c r="K24">
        <v>72707</v>
      </c>
    </row>
    <row r="25" spans="1:23" x14ac:dyDescent="0.3">
      <c r="A25">
        <v>2001</v>
      </c>
      <c r="B25">
        <v>215092</v>
      </c>
      <c r="C25">
        <v>143734</v>
      </c>
      <c r="D25">
        <v>66.8</v>
      </c>
      <c r="E25">
        <v>136933</v>
      </c>
      <c r="F25">
        <v>63.7</v>
      </c>
      <c r="G25">
        <v>2299</v>
      </c>
      <c r="H25">
        <v>134635</v>
      </c>
      <c r="I25">
        <v>6801</v>
      </c>
      <c r="J25">
        <v>4.7</v>
      </c>
      <c r="K25">
        <v>71359</v>
      </c>
    </row>
    <row r="26" spans="1:23" x14ac:dyDescent="0.3">
      <c r="A26">
        <v>2000</v>
      </c>
      <c r="B26">
        <v>212577</v>
      </c>
      <c r="C26">
        <v>142583</v>
      </c>
      <c r="D26">
        <v>67.099999999999994</v>
      </c>
      <c r="E26">
        <v>136891</v>
      </c>
      <c r="F26">
        <v>64.400000000000006</v>
      </c>
      <c r="G26">
        <v>2464</v>
      </c>
      <c r="H26">
        <v>134427</v>
      </c>
      <c r="I26">
        <v>5692</v>
      </c>
      <c r="J26">
        <v>4</v>
      </c>
      <c r="K26">
        <v>69994</v>
      </c>
    </row>
    <row r="27" spans="1:23" x14ac:dyDescent="0.3">
      <c r="A27">
        <v>1999</v>
      </c>
      <c r="B27">
        <v>207753</v>
      </c>
      <c r="C27">
        <v>139368</v>
      </c>
      <c r="D27">
        <v>67.099999999999994</v>
      </c>
      <c r="E27">
        <v>133488</v>
      </c>
      <c r="F27">
        <v>64.3</v>
      </c>
      <c r="G27">
        <v>3281</v>
      </c>
      <c r="H27">
        <v>130207</v>
      </c>
      <c r="I27">
        <v>5880</v>
      </c>
      <c r="J27">
        <v>4.2</v>
      </c>
      <c r="K27">
        <v>68385</v>
      </c>
    </row>
    <row r="28" spans="1:23" x14ac:dyDescent="0.3">
      <c r="A28">
        <v>1998</v>
      </c>
      <c r="B28">
        <v>205220</v>
      </c>
      <c r="C28">
        <v>137673</v>
      </c>
      <c r="D28">
        <v>67.099999999999994</v>
      </c>
      <c r="E28">
        <v>131463</v>
      </c>
      <c r="F28">
        <v>64.099999999999994</v>
      </c>
      <c r="G28">
        <v>3378</v>
      </c>
      <c r="H28">
        <v>128085</v>
      </c>
      <c r="I28">
        <v>6210</v>
      </c>
      <c r="J28">
        <v>4.5</v>
      </c>
      <c r="K28">
        <v>67547</v>
      </c>
    </row>
    <row r="29" spans="1:23" x14ac:dyDescent="0.3">
      <c r="A29">
        <v>1997</v>
      </c>
      <c r="B29">
        <v>203133</v>
      </c>
      <c r="C29">
        <v>136297</v>
      </c>
      <c r="D29">
        <v>67.099999999999994</v>
      </c>
      <c r="E29">
        <v>129558</v>
      </c>
      <c r="F29">
        <v>63.8</v>
      </c>
      <c r="G29">
        <v>3399</v>
      </c>
      <c r="H29">
        <v>126159</v>
      </c>
      <c r="I29">
        <v>6739</v>
      </c>
      <c r="J29">
        <v>4.9000000000000004</v>
      </c>
      <c r="K29">
        <v>66836</v>
      </c>
    </row>
    <row r="30" spans="1:23" x14ac:dyDescent="0.3">
      <c r="A30">
        <v>1996</v>
      </c>
      <c r="B30">
        <v>200591</v>
      </c>
      <c r="C30">
        <v>133943</v>
      </c>
      <c r="D30">
        <v>66.8</v>
      </c>
      <c r="E30">
        <v>126708</v>
      </c>
      <c r="F30">
        <v>63.2</v>
      </c>
      <c r="G30">
        <v>3443</v>
      </c>
      <c r="H30">
        <v>123264</v>
      </c>
      <c r="I30">
        <v>7236</v>
      </c>
      <c r="J30">
        <v>5.4</v>
      </c>
      <c r="K30">
        <v>66647</v>
      </c>
    </row>
    <row r="31" spans="1:23" x14ac:dyDescent="0.3">
      <c r="A31">
        <v>1995</v>
      </c>
      <c r="B31">
        <v>198584</v>
      </c>
      <c r="C31">
        <v>132304</v>
      </c>
      <c r="D31">
        <v>66.599999999999994</v>
      </c>
      <c r="E31">
        <v>124900</v>
      </c>
      <c r="F31">
        <v>62.9</v>
      </c>
      <c r="G31">
        <v>3440</v>
      </c>
      <c r="H31">
        <v>121460</v>
      </c>
      <c r="I31">
        <v>7404</v>
      </c>
      <c r="J31">
        <v>5.6</v>
      </c>
      <c r="K31">
        <v>66280</v>
      </c>
    </row>
    <row r="32" spans="1:23" x14ac:dyDescent="0.3">
      <c r="A32">
        <v>1994</v>
      </c>
      <c r="B32">
        <v>196814</v>
      </c>
      <c r="C32">
        <v>131056</v>
      </c>
      <c r="D32">
        <v>66.599999999999994</v>
      </c>
      <c r="E32">
        <v>123060</v>
      </c>
      <c r="F32">
        <v>62.5</v>
      </c>
      <c r="G32">
        <v>3409</v>
      </c>
      <c r="H32">
        <v>119651</v>
      </c>
      <c r="I32">
        <v>7996</v>
      </c>
      <c r="J32">
        <v>6.1</v>
      </c>
      <c r="K32">
        <v>65758</v>
      </c>
    </row>
    <row r="33" spans="1:11" x14ac:dyDescent="0.3">
      <c r="A33">
        <v>1993</v>
      </c>
      <c r="B33">
        <v>194838</v>
      </c>
      <c r="C33">
        <v>129200</v>
      </c>
      <c r="D33">
        <v>66.3</v>
      </c>
      <c r="E33">
        <v>120259</v>
      </c>
      <c r="F33">
        <v>61.7</v>
      </c>
      <c r="G33">
        <v>3115</v>
      </c>
      <c r="H33">
        <v>117144</v>
      </c>
      <c r="I33">
        <v>8940</v>
      </c>
      <c r="J33">
        <v>6.9</v>
      </c>
      <c r="K33">
        <v>65638</v>
      </c>
    </row>
    <row r="34" spans="1:11" x14ac:dyDescent="0.3">
      <c r="A34">
        <v>1992</v>
      </c>
      <c r="B34">
        <v>192805</v>
      </c>
      <c r="C34">
        <v>128105</v>
      </c>
      <c r="D34">
        <v>66.400000000000006</v>
      </c>
      <c r="E34">
        <v>118492</v>
      </c>
      <c r="F34">
        <v>61.5</v>
      </c>
      <c r="G34">
        <v>3247</v>
      </c>
      <c r="H34">
        <v>115245</v>
      </c>
      <c r="I34">
        <v>9613</v>
      </c>
      <c r="J34">
        <v>7.5</v>
      </c>
      <c r="K34">
        <v>64700</v>
      </c>
    </row>
    <row r="35" spans="1:11" x14ac:dyDescent="0.3">
      <c r="A35">
        <v>1991</v>
      </c>
      <c r="B35">
        <v>190925</v>
      </c>
      <c r="C35">
        <v>126346</v>
      </c>
      <c r="D35">
        <v>66.2</v>
      </c>
      <c r="E35">
        <v>117718</v>
      </c>
      <c r="F35">
        <v>61.7</v>
      </c>
      <c r="G35">
        <v>3269</v>
      </c>
      <c r="H35">
        <v>114449</v>
      </c>
      <c r="I35">
        <v>8628</v>
      </c>
      <c r="J35">
        <v>6.8</v>
      </c>
      <c r="K35">
        <v>64578</v>
      </c>
    </row>
    <row r="36" spans="1:11" x14ac:dyDescent="0.3">
      <c r="A36">
        <v>1990</v>
      </c>
      <c r="B36">
        <v>189164</v>
      </c>
      <c r="C36">
        <v>125840</v>
      </c>
      <c r="D36">
        <v>66.5</v>
      </c>
      <c r="E36">
        <v>118793</v>
      </c>
      <c r="F36">
        <v>62.8</v>
      </c>
      <c r="G36">
        <v>3223</v>
      </c>
      <c r="H36">
        <v>115570</v>
      </c>
      <c r="I36">
        <v>7047</v>
      </c>
      <c r="J36">
        <v>5.6</v>
      </c>
      <c r="K36">
        <v>63324</v>
      </c>
    </row>
    <row r="37" spans="1:11" x14ac:dyDescent="0.3">
      <c r="A37">
        <v>1989</v>
      </c>
      <c r="B37">
        <v>186393</v>
      </c>
      <c r="C37">
        <v>123869</v>
      </c>
      <c r="D37">
        <v>66.5</v>
      </c>
      <c r="E37">
        <v>117342</v>
      </c>
      <c r="F37">
        <v>63</v>
      </c>
      <c r="G37">
        <v>3199</v>
      </c>
      <c r="H37">
        <v>114142</v>
      </c>
      <c r="I37">
        <v>6528</v>
      </c>
      <c r="J37">
        <v>5.3</v>
      </c>
      <c r="K37">
        <v>62523</v>
      </c>
    </row>
    <row r="38" spans="1:11" x14ac:dyDescent="0.3">
      <c r="A38">
        <v>1988</v>
      </c>
      <c r="B38">
        <v>184613</v>
      </c>
      <c r="C38">
        <v>121669</v>
      </c>
      <c r="D38">
        <v>65.900000000000006</v>
      </c>
      <c r="E38">
        <v>114968</v>
      </c>
      <c r="F38">
        <v>62.3</v>
      </c>
      <c r="G38">
        <v>3169</v>
      </c>
      <c r="H38">
        <v>111800</v>
      </c>
      <c r="I38">
        <v>6701</v>
      </c>
      <c r="J38">
        <v>5.5</v>
      </c>
      <c r="K38">
        <v>62944</v>
      </c>
    </row>
    <row r="39" spans="1:11" x14ac:dyDescent="0.3">
      <c r="A39">
        <v>1987</v>
      </c>
      <c r="B39">
        <v>182753</v>
      </c>
      <c r="C39">
        <v>119865</v>
      </c>
      <c r="D39">
        <v>65.599999999999994</v>
      </c>
      <c r="E39">
        <v>112440</v>
      </c>
      <c r="F39">
        <v>61.5</v>
      </c>
      <c r="G39">
        <v>3208</v>
      </c>
      <c r="H39">
        <v>109232</v>
      </c>
      <c r="I39">
        <v>7425</v>
      </c>
      <c r="J39">
        <v>6.2</v>
      </c>
      <c r="K39">
        <v>62888</v>
      </c>
    </row>
    <row r="40" spans="1:11" x14ac:dyDescent="0.3">
      <c r="A40">
        <v>1986</v>
      </c>
      <c r="B40">
        <v>180587</v>
      </c>
      <c r="C40">
        <v>117834</v>
      </c>
      <c r="D40">
        <v>65.3</v>
      </c>
      <c r="E40">
        <v>109597</v>
      </c>
      <c r="F40">
        <v>60.7</v>
      </c>
      <c r="G40">
        <v>3163</v>
      </c>
      <c r="H40">
        <v>106434</v>
      </c>
      <c r="I40">
        <v>8237</v>
      </c>
      <c r="J40">
        <v>7</v>
      </c>
      <c r="K40">
        <v>62752</v>
      </c>
    </row>
    <row r="41" spans="1:11" x14ac:dyDescent="0.3">
      <c r="A41">
        <v>1985</v>
      </c>
      <c r="B41">
        <v>178206</v>
      </c>
      <c r="C41">
        <v>115461</v>
      </c>
      <c r="D41">
        <v>64.8</v>
      </c>
      <c r="E41">
        <v>107150</v>
      </c>
      <c r="F41">
        <v>60.1</v>
      </c>
      <c r="G41">
        <v>3179</v>
      </c>
      <c r="H41">
        <v>103971</v>
      </c>
      <c r="I41">
        <v>8312</v>
      </c>
      <c r="J41">
        <v>7.2</v>
      </c>
      <c r="K41">
        <v>62744</v>
      </c>
    </row>
    <row r="42" spans="1:11" x14ac:dyDescent="0.3">
      <c r="A42">
        <v>1984</v>
      </c>
      <c r="B42">
        <v>176383</v>
      </c>
      <c r="C42">
        <v>113544</v>
      </c>
      <c r="D42">
        <v>64.400000000000006</v>
      </c>
      <c r="E42">
        <v>105005</v>
      </c>
      <c r="F42">
        <v>59.5</v>
      </c>
      <c r="G42">
        <v>3321</v>
      </c>
      <c r="H42">
        <v>101685</v>
      </c>
      <c r="I42">
        <v>8539</v>
      </c>
      <c r="J42">
        <v>7.5</v>
      </c>
      <c r="K42">
        <v>62839</v>
      </c>
    </row>
    <row r="43" spans="1:11" x14ac:dyDescent="0.3">
      <c r="A43">
        <v>1983</v>
      </c>
      <c r="B43">
        <v>174215</v>
      </c>
      <c r="C43">
        <v>111550</v>
      </c>
      <c r="D43">
        <v>64</v>
      </c>
      <c r="E43">
        <v>100834</v>
      </c>
      <c r="F43">
        <v>57.9</v>
      </c>
      <c r="G43">
        <v>3383</v>
      </c>
      <c r="H43">
        <v>97450</v>
      </c>
      <c r="I43">
        <v>10717</v>
      </c>
      <c r="J43">
        <v>9.6</v>
      </c>
      <c r="K43">
        <v>62665</v>
      </c>
    </row>
    <row r="44" spans="1:11" x14ac:dyDescent="0.3">
      <c r="A44">
        <v>1982</v>
      </c>
      <c r="B44">
        <v>172271</v>
      </c>
      <c r="C44">
        <v>110204</v>
      </c>
      <c r="D44">
        <v>64</v>
      </c>
      <c r="E44">
        <v>99526</v>
      </c>
      <c r="F44">
        <v>57.8</v>
      </c>
      <c r="G44">
        <v>3401</v>
      </c>
      <c r="H44">
        <v>96125</v>
      </c>
      <c r="I44">
        <v>10678</v>
      </c>
      <c r="J44">
        <v>9.6999999999999993</v>
      </c>
      <c r="K44">
        <v>62067</v>
      </c>
    </row>
    <row r="45" spans="1:11" x14ac:dyDescent="0.3">
      <c r="A45">
        <v>1981</v>
      </c>
      <c r="B45">
        <v>170130</v>
      </c>
      <c r="C45">
        <v>108670</v>
      </c>
      <c r="D45">
        <v>63.9</v>
      </c>
      <c r="E45">
        <v>100397</v>
      </c>
      <c r="F45">
        <v>59</v>
      </c>
      <c r="G45">
        <v>3368</v>
      </c>
      <c r="H45">
        <v>97030</v>
      </c>
      <c r="I45">
        <v>8273</v>
      </c>
      <c r="J45">
        <v>7.6</v>
      </c>
      <c r="K45">
        <v>61460</v>
      </c>
    </row>
    <row r="46" spans="1:11" x14ac:dyDescent="0.3">
      <c r="A46">
        <v>1980</v>
      </c>
      <c r="B46">
        <v>167745</v>
      </c>
      <c r="C46">
        <v>106940</v>
      </c>
      <c r="D46">
        <v>63.8</v>
      </c>
      <c r="E46">
        <v>99302</v>
      </c>
      <c r="F46">
        <v>59.2</v>
      </c>
      <c r="G46">
        <v>3364</v>
      </c>
      <c r="H46">
        <v>95938</v>
      </c>
      <c r="I46">
        <v>7637</v>
      </c>
      <c r="J46">
        <v>7.1</v>
      </c>
      <c r="K46">
        <v>60806</v>
      </c>
    </row>
    <row r="47" spans="1:11" x14ac:dyDescent="0.3">
      <c r="A47">
        <v>1979</v>
      </c>
      <c r="B47">
        <v>164863</v>
      </c>
      <c r="C47">
        <v>104962</v>
      </c>
      <c r="D47">
        <v>63.7</v>
      </c>
      <c r="E47">
        <v>98824</v>
      </c>
      <c r="F47">
        <v>59.9</v>
      </c>
      <c r="G47">
        <v>3347</v>
      </c>
      <c r="H47">
        <v>95477</v>
      </c>
      <c r="I47">
        <v>6137</v>
      </c>
      <c r="J47">
        <v>5.8</v>
      </c>
      <c r="K47">
        <v>59900</v>
      </c>
    </row>
    <row r="48" spans="1:11" x14ac:dyDescent="0.3">
      <c r="A48">
        <v>1978</v>
      </c>
      <c r="B48">
        <v>161910</v>
      </c>
      <c r="C48">
        <v>102250</v>
      </c>
      <c r="D48">
        <v>63.2</v>
      </c>
      <c r="E48">
        <v>96048</v>
      </c>
      <c r="F48">
        <v>59.3</v>
      </c>
      <c r="G48">
        <v>3387</v>
      </c>
      <c r="H48">
        <v>92661</v>
      </c>
      <c r="I48">
        <v>6202</v>
      </c>
      <c r="J48">
        <v>6.1</v>
      </c>
      <c r="K48">
        <v>59659</v>
      </c>
    </row>
    <row r="49" spans="1:11" x14ac:dyDescent="0.3">
      <c r="A49">
        <v>1977</v>
      </c>
      <c r="B49">
        <v>159033</v>
      </c>
      <c r="C49">
        <v>99008</v>
      </c>
      <c r="D49">
        <v>62.3</v>
      </c>
      <c r="E49">
        <v>92017</v>
      </c>
      <c r="F49">
        <v>57.9</v>
      </c>
      <c r="G49">
        <v>3283</v>
      </c>
      <c r="H49">
        <v>88734</v>
      </c>
      <c r="I49">
        <v>6991</v>
      </c>
      <c r="J49">
        <v>7.1</v>
      </c>
      <c r="K49">
        <v>60025</v>
      </c>
    </row>
    <row r="50" spans="1:11" x14ac:dyDescent="0.3">
      <c r="A50">
        <v>1976</v>
      </c>
      <c r="B50">
        <v>156150</v>
      </c>
      <c r="C50">
        <v>96158</v>
      </c>
      <c r="D50">
        <v>61.6</v>
      </c>
      <c r="E50">
        <v>88752</v>
      </c>
      <c r="F50">
        <v>56.8</v>
      </c>
      <c r="G50">
        <v>3331</v>
      </c>
      <c r="H50">
        <v>85421</v>
      </c>
      <c r="I50">
        <v>7406</v>
      </c>
      <c r="J50">
        <v>7.7</v>
      </c>
      <c r="K50">
        <v>59991</v>
      </c>
    </row>
    <row r="51" spans="1:11" x14ac:dyDescent="0.3">
      <c r="A51">
        <v>1975</v>
      </c>
      <c r="B51">
        <v>153153</v>
      </c>
      <c r="C51">
        <v>93774</v>
      </c>
      <c r="D51">
        <v>61.2</v>
      </c>
      <c r="E51">
        <v>85846</v>
      </c>
      <c r="F51">
        <v>56.1</v>
      </c>
      <c r="G51">
        <v>3408</v>
      </c>
      <c r="H51">
        <v>82438</v>
      </c>
      <c r="I51">
        <v>7929</v>
      </c>
      <c r="J51">
        <v>8.5</v>
      </c>
      <c r="K51">
        <v>59377</v>
      </c>
    </row>
    <row r="52" spans="1:11" x14ac:dyDescent="0.3">
      <c r="A52">
        <v>1974</v>
      </c>
      <c r="B52">
        <v>150120</v>
      </c>
      <c r="C52">
        <v>91949</v>
      </c>
      <c r="D52">
        <v>61.3</v>
      </c>
      <c r="E52">
        <v>86794</v>
      </c>
      <c r="F52">
        <v>57.8</v>
      </c>
      <c r="G52">
        <v>3515</v>
      </c>
      <c r="H52">
        <v>83279</v>
      </c>
      <c r="I52">
        <v>5156</v>
      </c>
      <c r="J52">
        <v>5.6</v>
      </c>
      <c r="K52">
        <v>58171</v>
      </c>
    </row>
    <row r="53" spans="1:11" x14ac:dyDescent="0.3">
      <c r="A53">
        <v>1973</v>
      </c>
      <c r="B53">
        <v>147096</v>
      </c>
      <c r="C53">
        <v>89429</v>
      </c>
      <c r="D53">
        <v>60.8</v>
      </c>
      <c r="E53">
        <v>85064</v>
      </c>
      <c r="F53">
        <v>57.8</v>
      </c>
      <c r="G53">
        <v>3470</v>
      </c>
      <c r="H53">
        <v>81594</v>
      </c>
      <c r="I53">
        <v>4365</v>
      </c>
      <c r="J53">
        <v>4.9000000000000004</v>
      </c>
      <c r="K53">
        <v>57667</v>
      </c>
    </row>
    <row r="54" spans="1:11" x14ac:dyDescent="0.3">
      <c r="A54">
        <v>1972</v>
      </c>
      <c r="B54">
        <v>144126</v>
      </c>
      <c r="C54">
        <v>87034</v>
      </c>
      <c r="D54">
        <v>60.4</v>
      </c>
      <c r="E54">
        <v>82153</v>
      </c>
      <c r="F54">
        <v>57</v>
      </c>
      <c r="G54">
        <v>3484</v>
      </c>
      <c r="H54">
        <v>78669</v>
      </c>
      <c r="I54">
        <v>4882</v>
      </c>
      <c r="J54">
        <v>5.6</v>
      </c>
      <c r="K54">
        <v>57091</v>
      </c>
    </row>
    <row r="55" spans="1:11" x14ac:dyDescent="0.3">
      <c r="A55">
        <v>1971</v>
      </c>
      <c r="B55">
        <v>140216</v>
      </c>
      <c r="C55">
        <v>84382</v>
      </c>
      <c r="D55">
        <v>60.2</v>
      </c>
      <c r="E55">
        <v>79367</v>
      </c>
      <c r="F55">
        <v>56.6</v>
      </c>
      <c r="G55">
        <v>3394</v>
      </c>
      <c r="H55">
        <v>75972</v>
      </c>
      <c r="I55">
        <v>5016</v>
      </c>
      <c r="J55">
        <v>5.9</v>
      </c>
      <c r="K55">
        <v>55834</v>
      </c>
    </row>
    <row r="56" spans="1:11" x14ac:dyDescent="0.3">
      <c r="A56">
        <v>1970</v>
      </c>
      <c r="B56">
        <v>137085</v>
      </c>
      <c r="C56">
        <v>82771</v>
      </c>
      <c r="D56">
        <v>60.4</v>
      </c>
      <c r="E56">
        <v>78678</v>
      </c>
      <c r="F56">
        <v>57.4</v>
      </c>
      <c r="G56">
        <v>3463</v>
      </c>
      <c r="H56">
        <v>75215</v>
      </c>
      <c r="I56">
        <v>4093</v>
      </c>
      <c r="J56">
        <v>4.9000000000000004</v>
      </c>
      <c r="K56">
        <v>54315</v>
      </c>
    </row>
    <row r="57" spans="1:11" x14ac:dyDescent="0.3">
      <c r="A57">
        <v>1969</v>
      </c>
      <c r="B57">
        <v>134335</v>
      </c>
      <c r="C57">
        <v>80734</v>
      </c>
      <c r="D57">
        <v>60.1</v>
      </c>
      <c r="E57">
        <v>77902</v>
      </c>
      <c r="F57">
        <v>58</v>
      </c>
      <c r="G57">
        <v>3606</v>
      </c>
      <c r="H57">
        <v>74296</v>
      </c>
      <c r="I57">
        <v>2832</v>
      </c>
      <c r="J57">
        <v>3.5</v>
      </c>
      <c r="K57">
        <v>53602</v>
      </c>
    </row>
    <row r="58" spans="1:11" x14ac:dyDescent="0.3">
      <c r="A58">
        <v>1968</v>
      </c>
      <c r="B58">
        <v>132028</v>
      </c>
      <c r="C58">
        <v>78737</v>
      </c>
      <c r="D58">
        <v>59.6</v>
      </c>
      <c r="E58">
        <v>75920</v>
      </c>
      <c r="F58">
        <v>57.5</v>
      </c>
      <c r="G58">
        <v>3817</v>
      </c>
      <c r="H58">
        <v>72103</v>
      </c>
      <c r="I58">
        <v>2817</v>
      </c>
      <c r="J58">
        <v>3.6</v>
      </c>
      <c r="K58">
        <v>53291</v>
      </c>
    </row>
    <row r="59" spans="1:11" x14ac:dyDescent="0.3">
      <c r="A59">
        <v>1967</v>
      </c>
      <c r="B59">
        <v>129874</v>
      </c>
      <c r="C59">
        <v>77347</v>
      </c>
      <c r="D59">
        <v>59.6</v>
      </c>
      <c r="E59">
        <v>74372</v>
      </c>
      <c r="F59">
        <v>57.3</v>
      </c>
      <c r="G59">
        <v>3844</v>
      </c>
      <c r="H59">
        <v>70527</v>
      </c>
      <c r="I59">
        <v>2975</v>
      </c>
      <c r="J59">
        <v>3.8</v>
      </c>
      <c r="K59">
        <v>52527</v>
      </c>
    </row>
    <row r="60" spans="1:11" x14ac:dyDescent="0.3">
      <c r="A60">
        <v>1966</v>
      </c>
      <c r="B60">
        <v>128058</v>
      </c>
      <c r="C60">
        <v>75770</v>
      </c>
      <c r="D60">
        <v>59.2</v>
      </c>
      <c r="E60">
        <v>72895</v>
      </c>
      <c r="F60">
        <v>56.9</v>
      </c>
      <c r="G60">
        <v>3979</v>
      </c>
      <c r="H60">
        <v>68915</v>
      </c>
      <c r="I60">
        <v>2875</v>
      </c>
      <c r="J60">
        <v>3.8</v>
      </c>
      <c r="K60">
        <v>52288</v>
      </c>
    </row>
    <row r="61" spans="1:11" x14ac:dyDescent="0.3">
      <c r="A61">
        <v>1965</v>
      </c>
      <c r="B61">
        <v>126513</v>
      </c>
      <c r="C61">
        <v>74455</v>
      </c>
      <c r="D61">
        <v>58.9</v>
      </c>
      <c r="E61">
        <v>71088</v>
      </c>
      <c r="F61">
        <v>56.2</v>
      </c>
      <c r="G61">
        <v>4361</v>
      </c>
      <c r="H61">
        <v>66726</v>
      </c>
      <c r="I61">
        <v>3366</v>
      </c>
      <c r="J61">
        <v>4.5</v>
      </c>
      <c r="K61">
        <v>52058</v>
      </c>
    </row>
    <row r="62" spans="1:11" x14ac:dyDescent="0.3">
      <c r="A62">
        <v>1964</v>
      </c>
      <c r="B62">
        <v>124485</v>
      </c>
      <c r="C62">
        <v>73091</v>
      </c>
      <c r="D62">
        <v>58.7</v>
      </c>
      <c r="E62">
        <v>69305</v>
      </c>
      <c r="F62">
        <v>55.7</v>
      </c>
      <c r="G62">
        <v>4523</v>
      </c>
      <c r="H62">
        <v>64782</v>
      </c>
      <c r="I62">
        <v>3786</v>
      </c>
      <c r="J62">
        <v>5.2</v>
      </c>
      <c r="K62">
        <v>51394</v>
      </c>
    </row>
    <row r="63" spans="1:11" x14ac:dyDescent="0.3">
      <c r="A63">
        <v>1963</v>
      </c>
      <c r="B63">
        <v>122416</v>
      </c>
      <c r="C63">
        <v>71833</v>
      </c>
      <c r="D63">
        <v>58.7</v>
      </c>
      <c r="E63">
        <v>67762</v>
      </c>
      <c r="F63">
        <v>55.4</v>
      </c>
      <c r="G63">
        <v>4687</v>
      </c>
      <c r="H63">
        <v>63076</v>
      </c>
      <c r="I63">
        <v>4070</v>
      </c>
      <c r="J63">
        <v>5.7</v>
      </c>
      <c r="K63">
        <v>50583</v>
      </c>
    </row>
    <row r="64" spans="1:11" x14ac:dyDescent="0.3">
      <c r="A64">
        <v>1962</v>
      </c>
      <c r="B64">
        <v>120153</v>
      </c>
      <c r="C64">
        <v>70614</v>
      </c>
      <c r="D64">
        <v>58.8</v>
      </c>
      <c r="E64">
        <v>66702</v>
      </c>
      <c r="F64">
        <v>55.5</v>
      </c>
      <c r="G64">
        <v>4944</v>
      </c>
      <c r="H64">
        <v>61759</v>
      </c>
      <c r="I64">
        <v>3911</v>
      </c>
      <c r="J64">
        <v>5.5</v>
      </c>
      <c r="K64">
        <v>49539</v>
      </c>
    </row>
    <row r="65" spans="1:11" x14ac:dyDescent="0.3">
      <c r="A65">
        <v>1961</v>
      </c>
      <c r="B65">
        <v>118771</v>
      </c>
      <c r="C65">
        <v>70459</v>
      </c>
      <c r="D65">
        <v>59.3</v>
      </c>
      <c r="E65">
        <v>65746</v>
      </c>
      <c r="F65">
        <v>55.4</v>
      </c>
      <c r="G65">
        <v>5200</v>
      </c>
      <c r="H65">
        <v>60546</v>
      </c>
      <c r="I65">
        <v>4714</v>
      </c>
      <c r="J65">
        <v>6.7</v>
      </c>
      <c r="K65">
        <v>48312</v>
      </c>
    </row>
    <row r="66" spans="1:11" x14ac:dyDescent="0.3">
      <c r="A66">
        <v>1960</v>
      </c>
      <c r="B66">
        <v>117245</v>
      </c>
      <c r="C66">
        <v>69628</v>
      </c>
      <c r="D66">
        <v>59.4</v>
      </c>
      <c r="E66">
        <v>65778</v>
      </c>
      <c r="F66">
        <v>56.1</v>
      </c>
      <c r="G66">
        <v>5458</v>
      </c>
      <c r="H66">
        <v>60318</v>
      </c>
      <c r="I66">
        <v>3852</v>
      </c>
      <c r="J66">
        <v>5.5</v>
      </c>
      <c r="K66">
        <v>47617</v>
      </c>
    </row>
    <row r="67" spans="1:11" x14ac:dyDescent="0.3">
      <c r="A67">
        <v>1959</v>
      </c>
      <c r="B67">
        <v>115329</v>
      </c>
      <c r="C67">
        <v>68369</v>
      </c>
      <c r="D67">
        <v>59.3</v>
      </c>
      <c r="E67">
        <v>64630</v>
      </c>
      <c r="F67">
        <v>56</v>
      </c>
      <c r="G67">
        <v>5565</v>
      </c>
      <c r="H67">
        <v>59065</v>
      </c>
      <c r="I67">
        <v>3740</v>
      </c>
      <c r="J67">
        <v>5.5</v>
      </c>
      <c r="K67">
        <v>46960</v>
      </c>
    </row>
    <row r="68" spans="1:11" x14ac:dyDescent="0.3">
      <c r="A68">
        <v>1958</v>
      </c>
      <c r="B68">
        <v>113727</v>
      </c>
      <c r="C68">
        <v>67639</v>
      </c>
      <c r="D68">
        <v>59.5</v>
      </c>
      <c r="E68">
        <v>63036</v>
      </c>
      <c r="F68">
        <v>55.4</v>
      </c>
      <c r="G68">
        <v>5586</v>
      </c>
      <c r="H68">
        <v>57450</v>
      </c>
      <c r="I68">
        <v>4602</v>
      </c>
      <c r="J68">
        <v>6.8</v>
      </c>
      <c r="K68">
        <v>46088</v>
      </c>
    </row>
    <row r="69" spans="1:11" x14ac:dyDescent="0.3">
      <c r="A69">
        <v>1957</v>
      </c>
      <c r="B69">
        <v>112265</v>
      </c>
      <c r="C69">
        <v>66929</v>
      </c>
      <c r="D69">
        <v>59.6</v>
      </c>
      <c r="E69">
        <v>64071</v>
      </c>
      <c r="F69">
        <v>57.1</v>
      </c>
      <c r="G69">
        <v>5947</v>
      </c>
      <c r="H69">
        <v>58123</v>
      </c>
      <c r="I69">
        <v>2859</v>
      </c>
      <c r="J69">
        <v>4.3</v>
      </c>
      <c r="K69">
        <v>45336</v>
      </c>
    </row>
    <row r="70" spans="1:11" x14ac:dyDescent="0.3">
      <c r="A70">
        <v>1956</v>
      </c>
      <c r="B70">
        <v>110954</v>
      </c>
      <c r="C70">
        <v>66552</v>
      </c>
      <c r="D70">
        <v>60</v>
      </c>
      <c r="E70">
        <v>63799</v>
      </c>
      <c r="F70">
        <v>57.5</v>
      </c>
      <c r="G70">
        <v>6283</v>
      </c>
      <c r="H70">
        <v>57514</v>
      </c>
      <c r="I70">
        <v>2750</v>
      </c>
      <c r="J70">
        <v>4.0999999999999996</v>
      </c>
      <c r="K70">
        <v>44402</v>
      </c>
    </row>
    <row r="71" spans="1:11" x14ac:dyDescent="0.3">
      <c r="A71">
        <v>1955</v>
      </c>
      <c r="B71">
        <v>109683</v>
      </c>
      <c r="C71">
        <v>65023</v>
      </c>
      <c r="D71">
        <v>59.3</v>
      </c>
      <c r="E71">
        <v>62170</v>
      </c>
      <c r="F71">
        <v>56.7</v>
      </c>
      <c r="G71">
        <v>6450</v>
      </c>
      <c r="H71">
        <v>55722</v>
      </c>
      <c r="I71">
        <v>2852</v>
      </c>
      <c r="J71">
        <v>4.4000000000000004</v>
      </c>
      <c r="K71">
        <v>44660</v>
      </c>
    </row>
    <row r="72" spans="1:11" x14ac:dyDescent="0.3">
      <c r="A72">
        <v>1954</v>
      </c>
      <c r="B72">
        <v>108321</v>
      </c>
      <c r="C72">
        <v>63643</v>
      </c>
      <c r="D72">
        <v>58.8</v>
      </c>
      <c r="E72">
        <v>60109</v>
      </c>
      <c r="F72">
        <v>55.5</v>
      </c>
      <c r="G72">
        <v>6205</v>
      </c>
      <c r="H72">
        <v>53904</v>
      </c>
      <c r="I72">
        <v>3532</v>
      </c>
      <c r="J72">
        <v>5.5</v>
      </c>
      <c r="K72">
        <v>44678</v>
      </c>
    </row>
    <row r="73" spans="1:11" x14ac:dyDescent="0.3">
      <c r="A73">
        <v>1953</v>
      </c>
      <c r="B73">
        <v>107056</v>
      </c>
      <c r="C73">
        <v>63015</v>
      </c>
      <c r="D73">
        <v>58.9</v>
      </c>
      <c r="E73">
        <v>61179</v>
      </c>
      <c r="F73">
        <v>57.1</v>
      </c>
      <c r="G73">
        <v>6260</v>
      </c>
      <c r="H73">
        <v>54919</v>
      </c>
      <c r="I73">
        <v>1834</v>
      </c>
      <c r="J73">
        <v>2.9</v>
      </c>
      <c r="K73">
        <v>44041</v>
      </c>
    </row>
    <row r="74" spans="1:11" x14ac:dyDescent="0.3">
      <c r="A74">
        <v>1952</v>
      </c>
      <c r="B74">
        <v>105231</v>
      </c>
      <c r="C74">
        <v>62138</v>
      </c>
      <c r="D74">
        <v>59</v>
      </c>
      <c r="E74">
        <v>60250</v>
      </c>
      <c r="F74">
        <v>57.3</v>
      </c>
      <c r="G74">
        <v>6500</v>
      </c>
      <c r="H74">
        <v>53749</v>
      </c>
      <c r="I74">
        <v>1883</v>
      </c>
      <c r="J74">
        <v>3</v>
      </c>
      <c r="K74">
        <v>43093</v>
      </c>
    </row>
    <row r="75" spans="1:11" x14ac:dyDescent="0.3">
      <c r="A75">
        <v>1951</v>
      </c>
      <c r="B75">
        <v>104621</v>
      </c>
      <c r="C75">
        <v>62017</v>
      </c>
      <c r="D75">
        <v>59.2</v>
      </c>
      <c r="E75">
        <v>59961</v>
      </c>
      <c r="F75">
        <v>57.3</v>
      </c>
      <c r="G75">
        <v>6726</v>
      </c>
      <c r="H75">
        <v>53235</v>
      </c>
      <c r="I75">
        <v>2055</v>
      </c>
      <c r="J75">
        <v>3.3</v>
      </c>
      <c r="K75">
        <v>42604</v>
      </c>
    </row>
    <row r="76" spans="1:11" x14ac:dyDescent="0.3">
      <c r="A76">
        <v>1950</v>
      </c>
      <c r="B76">
        <v>104995</v>
      </c>
      <c r="C76">
        <v>62208</v>
      </c>
      <c r="D76">
        <v>59.2</v>
      </c>
      <c r="E76">
        <v>58918</v>
      </c>
      <c r="F76">
        <v>56.1</v>
      </c>
      <c r="G76">
        <v>7160</v>
      </c>
      <c r="H76">
        <v>51758</v>
      </c>
      <c r="I76">
        <v>3288</v>
      </c>
      <c r="J76">
        <v>5.3</v>
      </c>
      <c r="K76">
        <v>42787</v>
      </c>
    </row>
    <row r="77" spans="1:11" x14ac:dyDescent="0.3">
      <c r="A77">
        <v>1949</v>
      </c>
      <c r="B77">
        <v>103994</v>
      </c>
      <c r="C77">
        <v>61286</v>
      </c>
      <c r="D77">
        <v>58.9</v>
      </c>
      <c r="E77">
        <v>57651</v>
      </c>
      <c r="F77">
        <v>55.4</v>
      </c>
      <c r="G77">
        <v>7658</v>
      </c>
      <c r="H77">
        <v>49993</v>
      </c>
      <c r="I77">
        <v>3637</v>
      </c>
      <c r="J77">
        <v>5.9</v>
      </c>
      <c r="K77">
        <v>42708</v>
      </c>
    </row>
    <row r="78" spans="1:11" x14ac:dyDescent="0.3">
      <c r="A78">
        <v>1948</v>
      </c>
      <c r="B78">
        <v>103068</v>
      </c>
      <c r="C78">
        <v>60621</v>
      </c>
      <c r="D78">
        <v>58.8</v>
      </c>
      <c r="E78">
        <v>58343</v>
      </c>
      <c r="F78">
        <v>56.6</v>
      </c>
      <c r="G78">
        <v>7629</v>
      </c>
      <c r="H78">
        <v>50714</v>
      </c>
      <c r="I78">
        <v>2276</v>
      </c>
      <c r="J78">
        <v>3.8</v>
      </c>
      <c r="K78">
        <v>42447</v>
      </c>
    </row>
    <row r="79" spans="1:11" x14ac:dyDescent="0.3">
      <c r="A79">
        <v>1947</v>
      </c>
      <c r="B79">
        <v>106018</v>
      </c>
      <c r="C79">
        <v>60168</v>
      </c>
      <c r="D79">
        <v>56.8</v>
      </c>
      <c r="E79">
        <v>57812</v>
      </c>
      <c r="F79">
        <v>54.5</v>
      </c>
      <c r="G79">
        <v>8256</v>
      </c>
      <c r="H79">
        <v>49557</v>
      </c>
      <c r="I79">
        <v>2356</v>
      </c>
      <c r="J79">
        <v>3.9</v>
      </c>
      <c r="K79">
        <v>45850</v>
      </c>
    </row>
    <row r="80" spans="1:11" x14ac:dyDescent="0.3">
      <c r="A80">
        <v>1946</v>
      </c>
      <c r="B80">
        <v>101827</v>
      </c>
      <c r="C80">
        <v>59350</v>
      </c>
      <c r="D80">
        <v>58.3</v>
      </c>
      <c r="E80">
        <v>57038</v>
      </c>
      <c r="F80">
        <v>56</v>
      </c>
      <c r="G80">
        <v>7890</v>
      </c>
      <c r="H80">
        <v>49148</v>
      </c>
      <c r="I80">
        <v>2311</v>
      </c>
      <c r="J80">
        <v>3.9</v>
      </c>
      <c r="K80">
        <v>42477</v>
      </c>
    </row>
    <row r="81" spans="1:11" x14ac:dyDescent="0.3">
      <c r="A81">
        <v>1945</v>
      </c>
      <c r="B81">
        <v>94090</v>
      </c>
      <c r="C81">
        <v>53860</v>
      </c>
      <c r="D81">
        <v>57.2</v>
      </c>
      <c r="E81">
        <v>52820</v>
      </c>
      <c r="F81">
        <v>56.1</v>
      </c>
      <c r="G81">
        <v>8580</v>
      </c>
      <c r="H81">
        <v>44240</v>
      </c>
      <c r="I81">
        <v>1040</v>
      </c>
      <c r="J81">
        <v>1.9</v>
      </c>
      <c r="K81">
        <v>40230</v>
      </c>
    </row>
    <row r="82" spans="1:11" x14ac:dyDescent="0.3">
      <c r="A82">
        <v>1944</v>
      </c>
      <c r="B82">
        <v>93220</v>
      </c>
      <c r="C82">
        <v>54630</v>
      </c>
      <c r="D82">
        <v>58.6</v>
      </c>
      <c r="E82">
        <v>53960</v>
      </c>
      <c r="F82">
        <v>57.9</v>
      </c>
      <c r="G82">
        <v>8950</v>
      </c>
      <c r="H82">
        <v>45010</v>
      </c>
      <c r="I82">
        <v>670</v>
      </c>
      <c r="J82">
        <v>1.2</v>
      </c>
      <c r="K82">
        <v>38590</v>
      </c>
    </row>
    <row r="83" spans="1:11" x14ac:dyDescent="0.3">
      <c r="A83">
        <v>1943</v>
      </c>
      <c r="B83">
        <v>94640</v>
      </c>
      <c r="C83">
        <v>55540</v>
      </c>
      <c r="D83">
        <v>58.7</v>
      </c>
      <c r="E83">
        <v>54470</v>
      </c>
      <c r="F83">
        <v>57.6</v>
      </c>
      <c r="G83">
        <v>9080</v>
      </c>
      <c r="H83">
        <v>45390</v>
      </c>
      <c r="I83">
        <v>1070</v>
      </c>
      <c r="J83">
        <v>1.9</v>
      </c>
      <c r="K83">
        <v>39100</v>
      </c>
    </row>
    <row r="84" spans="1:11" x14ac:dyDescent="0.3">
      <c r="A84">
        <v>1942</v>
      </c>
      <c r="B84">
        <v>98640</v>
      </c>
      <c r="C84">
        <v>56410</v>
      </c>
      <c r="D84">
        <v>57.2</v>
      </c>
      <c r="E84">
        <v>53750</v>
      </c>
      <c r="F84">
        <v>54.5</v>
      </c>
      <c r="G84">
        <v>9250</v>
      </c>
      <c r="H84">
        <v>44500</v>
      </c>
      <c r="I84">
        <v>2660</v>
      </c>
      <c r="J84">
        <v>4.7</v>
      </c>
      <c r="K84">
        <v>42230</v>
      </c>
    </row>
    <row r="85" spans="1:11" x14ac:dyDescent="0.3">
      <c r="A85">
        <v>1941</v>
      </c>
      <c r="B85">
        <v>99900</v>
      </c>
      <c r="C85">
        <v>55910</v>
      </c>
      <c r="D85">
        <v>56</v>
      </c>
      <c r="E85">
        <v>50350</v>
      </c>
      <c r="F85">
        <v>50.4</v>
      </c>
      <c r="G85">
        <v>9100</v>
      </c>
      <c r="H85">
        <v>41250</v>
      </c>
      <c r="I85">
        <v>5560</v>
      </c>
      <c r="J85">
        <v>9.9</v>
      </c>
      <c r="K85">
        <v>43990</v>
      </c>
    </row>
    <row r="86" spans="1:11" x14ac:dyDescent="0.3">
      <c r="A86">
        <v>1940</v>
      </c>
      <c r="B86">
        <v>98646</v>
      </c>
      <c r="C86">
        <v>55864</v>
      </c>
      <c r="D86">
        <v>56.8</v>
      </c>
      <c r="E86">
        <v>49853</v>
      </c>
      <c r="F86">
        <v>49.8</v>
      </c>
      <c r="G86">
        <v>9236</v>
      </c>
      <c r="H86">
        <f>SUM(C86,-G86)</f>
        <v>46628</v>
      </c>
      <c r="I86">
        <f>SUM(C86,-H86)</f>
        <v>9236</v>
      </c>
      <c r="J86">
        <v>5.5</v>
      </c>
      <c r="K86">
        <f>SUM(B86,-C86)</f>
        <v>42782</v>
      </c>
    </row>
    <row r="87" spans="1:11" x14ac:dyDescent="0.3">
      <c r="A87">
        <v>1939</v>
      </c>
      <c r="B87">
        <v>96596</v>
      </c>
      <c r="C87">
        <v>55713</v>
      </c>
      <c r="D87">
        <v>56.9</v>
      </c>
      <c r="E87">
        <v>49753</v>
      </c>
      <c r="F87">
        <v>47.9</v>
      </c>
      <c r="G87">
        <v>9258</v>
      </c>
      <c r="H87">
        <f t="shared" ref="H87:H101" si="0">SUM(C87,-G87)</f>
        <v>46455</v>
      </c>
      <c r="I87">
        <f t="shared" ref="I87:I101" si="1">SUM(C87,-H87)</f>
        <v>9258</v>
      </c>
      <c r="J87">
        <v>6.6</v>
      </c>
      <c r="K87">
        <f t="shared" ref="K87:K101" si="2">SUM(B87,-C87)</f>
        <v>40883</v>
      </c>
    </row>
    <row r="88" spans="1:11" x14ac:dyDescent="0.3">
      <c r="A88">
        <v>1938</v>
      </c>
      <c r="B88">
        <v>97325</v>
      </c>
      <c r="C88">
        <v>54931</v>
      </c>
      <c r="D88">
        <v>56.1</v>
      </c>
      <c r="E88">
        <v>49372</v>
      </c>
      <c r="F88">
        <v>45.9</v>
      </c>
      <c r="G88">
        <v>9346</v>
      </c>
      <c r="H88">
        <f t="shared" si="0"/>
        <v>45585</v>
      </c>
      <c r="I88">
        <f t="shared" si="1"/>
        <v>9346</v>
      </c>
      <c r="J88">
        <v>6.5</v>
      </c>
      <c r="K88">
        <f t="shared" si="2"/>
        <v>42394</v>
      </c>
    </row>
    <row r="89" spans="1:11" x14ac:dyDescent="0.3">
      <c r="A89">
        <v>1937</v>
      </c>
      <c r="B89">
        <v>95621</v>
      </c>
      <c r="C89">
        <v>54138</v>
      </c>
      <c r="D89">
        <v>55.9</v>
      </c>
      <c r="E89">
        <v>48631</v>
      </c>
      <c r="F89">
        <v>48.6</v>
      </c>
      <c r="G89">
        <v>9386</v>
      </c>
      <c r="H89">
        <f t="shared" si="0"/>
        <v>44752</v>
      </c>
      <c r="I89">
        <f t="shared" si="1"/>
        <v>9386</v>
      </c>
      <c r="J89">
        <v>8.9</v>
      </c>
      <c r="K89">
        <f t="shared" si="2"/>
        <v>41483</v>
      </c>
    </row>
    <row r="90" spans="1:11" x14ac:dyDescent="0.3">
      <c r="A90">
        <v>1936</v>
      </c>
      <c r="B90">
        <v>96452</v>
      </c>
      <c r="C90">
        <v>53961</v>
      </c>
      <c r="D90">
        <v>55.6</v>
      </c>
      <c r="E90">
        <v>48357</v>
      </c>
      <c r="F90">
        <v>47.6</v>
      </c>
      <c r="G90">
        <v>9436</v>
      </c>
      <c r="H90">
        <f t="shared" si="0"/>
        <v>44525</v>
      </c>
      <c r="I90">
        <f t="shared" si="1"/>
        <v>9436</v>
      </c>
      <c r="J90">
        <v>6.7</v>
      </c>
      <c r="K90">
        <f t="shared" si="2"/>
        <v>42491</v>
      </c>
    </row>
    <row r="91" spans="1:11" x14ac:dyDescent="0.3">
      <c r="A91">
        <v>1935</v>
      </c>
      <c r="B91">
        <v>95861</v>
      </c>
      <c r="C91">
        <v>53397</v>
      </c>
      <c r="D91">
        <v>55.1</v>
      </c>
      <c r="E91">
        <v>48167</v>
      </c>
      <c r="F91">
        <v>48.2</v>
      </c>
      <c r="G91">
        <v>9578</v>
      </c>
      <c r="H91">
        <f t="shared" si="0"/>
        <v>43819</v>
      </c>
      <c r="I91">
        <f t="shared" si="1"/>
        <v>9578</v>
      </c>
      <c r="J91">
        <v>6.9</v>
      </c>
      <c r="K91">
        <f t="shared" si="2"/>
        <v>42464</v>
      </c>
    </row>
    <row r="92" spans="1:11" x14ac:dyDescent="0.3">
      <c r="A92">
        <v>1934</v>
      </c>
      <c r="B92">
        <v>95436</v>
      </c>
      <c r="C92">
        <v>52861</v>
      </c>
      <c r="D92">
        <v>54.8</v>
      </c>
      <c r="E92">
        <v>47932</v>
      </c>
      <c r="F92">
        <v>47.2</v>
      </c>
      <c r="G92">
        <v>9671</v>
      </c>
      <c r="H92">
        <f t="shared" si="0"/>
        <v>43190</v>
      </c>
      <c r="I92">
        <f t="shared" si="1"/>
        <v>9671</v>
      </c>
      <c r="J92">
        <v>5.3</v>
      </c>
      <c r="K92">
        <f t="shared" si="2"/>
        <v>42575</v>
      </c>
    </row>
    <row r="93" spans="1:11" x14ac:dyDescent="0.3">
      <c r="A93">
        <v>1933</v>
      </c>
      <c r="B93">
        <v>94793</v>
      </c>
      <c r="C93">
        <v>52279</v>
      </c>
      <c r="D93">
        <v>54.5</v>
      </c>
      <c r="E93">
        <v>47631</v>
      </c>
      <c r="F93">
        <v>47.3</v>
      </c>
      <c r="G93">
        <v>9731</v>
      </c>
      <c r="H93">
        <f t="shared" si="0"/>
        <v>42548</v>
      </c>
      <c r="I93">
        <f t="shared" si="1"/>
        <v>9731</v>
      </c>
      <c r="J93">
        <v>8.9</v>
      </c>
      <c r="K93">
        <f t="shared" si="2"/>
        <v>42514</v>
      </c>
    </row>
    <row r="94" spans="1:11" x14ac:dyDescent="0.3">
      <c r="A94">
        <v>1932</v>
      </c>
      <c r="B94">
        <v>94179</v>
      </c>
      <c r="C94">
        <v>51931</v>
      </c>
      <c r="D94">
        <v>54</v>
      </c>
      <c r="E94">
        <v>47328</v>
      </c>
      <c r="F94">
        <v>49.6</v>
      </c>
      <c r="G94">
        <v>9837</v>
      </c>
      <c r="H94">
        <f t="shared" si="0"/>
        <v>42094</v>
      </c>
      <c r="I94">
        <f t="shared" si="1"/>
        <v>9837</v>
      </c>
      <c r="J94">
        <v>7.1</v>
      </c>
      <c r="K94">
        <f t="shared" si="2"/>
        <v>42248</v>
      </c>
    </row>
    <row r="95" spans="1:11" x14ac:dyDescent="0.3">
      <c r="A95">
        <v>1931</v>
      </c>
      <c r="B95">
        <v>93686</v>
      </c>
      <c r="C95">
        <v>51276</v>
      </c>
      <c r="D95">
        <v>53.9</v>
      </c>
      <c r="E95">
        <v>46341</v>
      </c>
      <c r="F95">
        <v>49.5</v>
      </c>
      <c r="G95">
        <v>9913</v>
      </c>
      <c r="H95">
        <f t="shared" si="0"/>
        <v>41363</v>
      </c>
      <c r="I95">
        <f t="shared" si="1"/>
        <v>9913</v>
      </c>
      <c r="J95">
        <v>7.6</v>
      </c>
      <c r="K95">
        <f t="shared" si="2"/>
        <v>42410</v>
      </c>
    </row>
    <row r="96" spans="1:11" x14ac:dyDescent="0.3">
      <c r="A96">
        <v>1930</v>
      </c>
      <c r="B96">
        <v>94367</v>
      </c>
      <c r="C96">
        <v>50792</v>
      </c>
      <c r="D96">
        <v>53.7</v>
      </c>
      <c r="E96">
        <v>46723</v>
      </c>
      <c r="F96">
        <v>48.2</v>
      </c>
      <c r="G96">
        <v>10359</v>
      </c>
      <c r="H96">
        <f t="shared" si="0"/>
        <v>40433</v>
      </c>
      <c r="I96">
        <f t="shared" si="1"/>
        <v>10359</v>
      </c>
      <c r="J96">
        <v>4.8</v>
      </c>
      <c r="K96">
        <f t="shared" si="2"/>
        <v>43575</v>
      </c>
    </row>
    <row r="97" spans="1:12" x14ac:dyDescent="0.3">
      <c r="A97">
        <v>1929</v>
      </c>
      <c r="B97">
        <v>93189</v>
      </c>
      <c r="C97">
        <v>50079</v>
      </c>
      <c r="D97">
        <v>53.4</v>
      </c>
      <c r="E97">
        <v>46237</v>
      </c>
      <c r="F97">
        <v>48.6</v>
      </c>
      <c r="G97">
        <v>11957</v>
      </c>
      <c r="H97">
        <f t="shared" si="0"/>
        <v>38122</v>
      </c>
      <c r="I97">
        <f t="shared" si="1"/>
        <v>11957</v>
      </c>
      <c r="J97">
        <v>9.6</v>
      </c>
      <c r="K97">
        <f t="shared" si="2"/>
        <v>43110</v>
      </c>
    </row>
    <row r="98" spans="1:12" x14ac:dyDescent="0.3">
      <c r="A98">
        <v>1928</v>
      </c>
      <c r="B98">
        <v>92148</v>
      </c>
      <c r="C98">
        <v>49993</v>
      </c>
      <c r="D98">
        <v>52.9</v>
      </c>
      <c r="E98">
        <v>45872</v>
      </c>
      <c r="F98">
        <v>47.9</v>
      </c>
      <c r="G98">
        <v>1283</v>
      </c>
      <c r="H98">
        <f t="shared" si="0"/>
        <v>48710</v>
      </c>
      <c r="I98">
        <f t="shared" si="1"/>
        <v>1283</v>
      </c>
      <c r="J98">
        <v>7.1</v>
      </c>
      <c r="K98">
        <f t="shared" si="2"/>
        <v>42155</v>
      </c>
    </row>
    <row r="99" spans="1:12" x14ac:dyDescent="0.3">
      <c r="A99">
        <v>1927</v>
      </c>
      <c r="B99">
        <v>91938</v>
      </c>
      <c r="C99">
        <v>49328</v>
      </c>
      <c r="D99">
        <v>53</v>
      </c>
      <c r="E99">
        <v>45329</v>
      </c>
      <c r="F99">
        <v>46.7</v>
      </c>
      <c r="G99">
        <v>13468</v>
      </c>
      <c r="H99">
        <f t="shared" si="0"/>
        <v>35860</v>
      </c>
      <c r="I99">
        <f t="shared" si="1"/>
        <v>13468</v>
      </c>
      <c r="J99">
        <v>7.3</v>
      </c>
      <c r="K99">
        <f t="shared" si="2"/>
        <v>42610</v>
      </c>
    </row>
    <row r="100" spans="1:12" x14ac:dyDescent="0.3">
      <c r="A100">
        <v>1926</v>
      </c>
      <c r="B100">
        <v>90395</v>
      </c>
      <c r="C100">
        <v>49103</v>
      </c>
      <c r="D100">
        <v>52.5</v>
      </c>
      <c r="E100">
        <v>44963</v>
      </c>
      <c r="F100">
        <v>48.6</v>
      </c>
      <c r="G100">
        <v>14853</v>
      </c>
      <c r="H100">
        <f t="shared" si="0"/>
        <v>34250</v>
      </c>
      <c r="I100">
        <f t="shared" si="1"/>
        <v>14853</v>
      </c>
      <c r="J100">
        <v>8.6</v>
      </c>
      <c r="K100">
        <f t="shared" si="2"/>
        <v>41292</v>
      </c>
    </row>
    <row r="101" spans="1:12" x14ac:dyDescent="0.3">
      <c r="A101">
        <v>1925</v>
      </c>
      <c r="B101">
        <v>90049</v>
      </c>
      <c r="C101">
        <v>48937</v>
      </c>
      <c r="D101">
        <v>52</v>
      </c>
      <c r="E101">
        <v>44763</v>
      </c>
      <c r="F101">
        <v>47.2</v>
      </c>
      <c r="G101">
        <v>15794</v>
      </c>
      <c r="H101">
        <f t="shared" si="0"/>
        <v>33143</v>
      </c>
      <c r="I101">
        <f t="shared" si="1"/>
        <v>15794</v>
      </c>
      <c r="J101">
        <v>9.8000000000000007</v>
      </c>
      <c r="K101">
        <f t="shared" si="2"/>
        <v>41112</v>
      </c>
    </row>
    <row r="102" spans="1:12" x14ac:dyDescent="0.3">
      <c r="A102">
        <f>AVERAGE(A2:A101)</f>
        <v>1974.5</v>
      </c>
      <c r="B102">
        <f t="shared" ref="B102:K102" si="3">AVERAGE(B2:B101)</f>
        <v>160771.32</v>
      </c>
      <c r="C102">
        <f t="shared" si="3"/>
        <v>100289.04</v>
      </c>
      <c r="D102">
        <f t="shared" si="3"/>
        <v>61.127999999999993</v>
      </c>
      <c r="E102">
        <f t="shared" si="3"/>
        <v>94279.14</v>
      </c>
      <c r="F102">
        <f t="shared" si="3"/>
        <v>57.186000000000021</v>
      </c>
      <c r="G102">
        <f t="shared" si="3"/>
        <v>5036.38</v>
      </c>
      <c r="H102">
        <f t="shared" si="3"/>
        <v>90016</v>
      </c>
      <c r="I102">
        <f t="shared" si="3"/>
        <v>6867.55</v>
      </c>
      <c r="J102">
        <f t="shared" si="3"/>
        <v>5.8189999999999991</v>
      </c>
      <c r="K102">
        <f t="shared" si="3"/>
        <v>60482.22</v>
      </c>
      <c r="L102" s="1" t="s">
        <v>11</v>
      </c>
    </row>
    <row r="103" spans="1:12" x14ac:dyDescent="0.3">
      <c r="A103">
        <f>MEDIAN(A2:A101)</f>
        <v>1974.5</v>
      </c>
      <c r="B103">
        <f t="shared" ref="B103:K103" si="4">MEDIAN(B2:B101)</f>
        <v>151636.5</v>
      </c>
      <c r="C103">
        <f t="shared" si="4"/>
        <v>92861.5</v>
      </c>
      <c r="D103">
        <f t="shared" si="4"/>
        <v>61.25</v>
      </c>
      <c r="E103">
        <f t="shared" si="4"/>
        <v>86320</v>
      </c>
      <c r="F103">
        <f t="shared" si="4"/>
        <v>57.8</v>
      </c>
      <c r="G103">
        <f t="shared" si="4"/>
        <v>3424.5</v>
      </c>
      <c r="H103">
        <f t="shared" si="4"/>
        <v>82858.5</v>
      </c>
      <c r="I103">
        <f t="shared" si="4"/>
        <v>6986.5</v>
      </c>
      <c r="J103">
        <f t="shared" si="4"/>
        <v>5.55</v>
      </c>
      <c r="K103">
        <f t="shared" si="4"/>
        <v>58774</v>
      </c>
      <c r="L103" s="1" t="s">
        <v>12</v>
      </c>
    </row>
    <row r="104" spans="1:12" x14ac:dyDescent="0.3">
      <c r="A104">
        <f>_xlfn.STDEV.P(A2:A101)</f>
        <v>28.866070047722118</v>
      </c>
      <c r="B104">
        <f t="shared" ref="B104:K104" si="5">_xlfn.STDEV.P(B2:B101)</f>
        <v>57999.020523605395</v>
      </c>
      <c r="C104">
        <f t="shared" si="5"/>
        <v>40509.687875351497</v>
      </c>
      <c r="D104">
        <f t="shared" si="5"/>
        <v>4.142802915901262</v>
      </c>
      <c r="E104">
        <f t="shared" si="5"/>
        <v>38410.29638365734</v>
      </c>
      <c r="F104">
        <f t="shared" si="5"/>
        <v>4.7835137712773443</v>
      </c>
      <c r="G104">
        <f t="shared" si="5"/>
        <v>3145.3135099064448</v>
      </c>
      <c r="H104">
        <f t="shared" si="5"/>
        <v>40017.01917659535</v>
      </c>
      <c r="I104">
        <f t="shared" si="5"/>
        <v>3423.7064079006541</v>
      </c>
      <c r="J104">
        <f t="shared" si="5"/>
        <v>1.8758302161976208</v>
      </c>
      <c r="K104">
        <f t="shared" si="5"/>
        <v>18013.168989703059</v>
      </c>
      <c r="L104" s="1" t="s">
        <v>13</v>
      </c>
    </row>
    <row r="105" spans="1:12" x14ac:dyDescent="0.3">
      <c r="A105">
        <f>MIN(A2:A101)</f>
        <v>1925</v>
      </c>
      <c r="B105">
        <f t="shared" ref="B105:K105" si="6">MIN(B2:B101)</f>
        <v>90049</v>
      </c>
      <c r="C105">
        <f t="shared" si="6"/>
        <v>48937</v>
      </c>
      <c r="D105">
        <f t="shared" si="6"/>
        <v>52</v>
      </c>
      <c r="E105">
        <f t="shared" si="6"/>
        <v>44763</v>
      </c>
      <c r="F105">
        <f t="shared" si="6"/>
        <v>45.9</v>
      </c>
      <c r="G105">
        <f t="shared" si="6"/>
        <v>1283</v>
      </c>
      <c r="H105">
        <f t="shared" si="6"/>
        <v>33143</v>
      </c>
      <c r="I105">
        <f t="shared" si="6"/>
        <v>670</v>
      </c>
      <c r="J105">
        <f t="shared" si="6"/>
        <v>1.2</v>
      </c>
      <c r="K105">
        <f t="shared" si="6"/>
        <v>38590</v>
      </c>
      <c r="L105" s="1" t="s">
        <v>14</v>
      </c>
    </row>
    <row r="106" spans="1:12" x14ac:dyDescent="0.3">
      <c r="A106">
        <f>MAX(A2:A101)</f>
        <v>2024</v>
      </c>
      <c r="B106">
        <f t="shared" ref="B106:K106" si="7">MAX(B2:B101)</f>
        <v>268571</v>
      </c>
      <c r="C106">
        <f t="shared" si="7"/>
        <v>168106</v>
      </c>
      <c r="D106">
        <f t="shared" si="7"/>
        <v>67.099999999999994</v>
      </c>
      <c r="E106">
        <f t="shared" si="7"/>
        <v>161346</v>
      </c>
      <c r="F106">
        <f t="shared" si="7"/>
        <v>64.400000000000006</v>
      </c>
      <c r="G106">
        <f t="shared" si="7"/>
        <v>15794</v>
      </c>
      <c r="H106">
        <f t="shared" si="7"/>
        <v>159091</v>
      </c>
      <c r="I106">
        <f t="shared" si="7"/>
        <v>15794</v>
      </c>
      <c r="J106">
        <f t="shared" si="7"/>
        <v>9.9</v>
      </c>
      <c r="K106">
        <f t="shared" si="7"/>
        <v>100465</v>
      </c>
      <c r="L106" s="1" t="s">
        <v>15</v>
      </c>
    </row>
    <row r="107" spans="1:12" x14ac:dyDescent="0.3">
      <c r="A107">
        <f>_xlfn.QUARTILE.EXC(A2:A101,1)</f>
        <v>1949.25</v>
      </c>
      <c r="B107">
        <f t="shared" ref="B107:K107" si="8">_xlfn.QUARTILE.EXC(B2:B101,1)</f>
        <v>104714.5</v>
      </c>
      <c r="C107">
        <f t="shared" si="8"/>
        <v>61468.75</v>
      </c>
      <c r="D107">
        <f t="shared" si="8"/>
        <v>58.725000000000001</v>
      </c>
      <c r="E107">
        <f t="shared" si="8"/>
        <v>58486.75</v>
      </c>
      <c r="F107">
        <f t="shared" si="8"/>
        <v>55.55</v>
      </c>
      <c r="G107">
        <f t="shared" si="8"/>
        <v>2461</v>
      </c>
      <c r="H107">
        <f t="shared" si="8"/>
        <v>50975</v>
      </c>
      <c r="I107">
        <f t="shared" si="8"/>
        <v>3866.75</v>
      </c>
      <c r="J107">
        <f t="shared" si="8"/>
        <v>4.5</v>
      </c>
      <c r="K107">
        <f t="shared" si="8"/>
        <v>43226.25</v>
      </c>
      <c r="L107" s="1" t="s">
        <v>32</v>
      </c>
    </row>
    <row r="108" spans="1:12" x14ac:dyDescent="0.3">
      <c r="A108">
        <f>_xlfn.QUARTILE.EXC(A2:A101,2)</f>
        <v>1974.5</v>
      </c>
      <c r="B108">
        <f t="shared" ref="B108:K108" si="9">_xlfn.QUARTILE.EXC(B2:B101,2)</f>
        <v>151636.5</v>
      </c>
      <c r="C108">
        <f t="shared" si="9"/>
        <v>92861.5</v>
      </c>
      <c r="D108">
        <f t="shared" si="9"/>
        <v>61.25</v>
      </c>
      <c r="E108">
        <f t="shared" si="9"/>
        <v>86320</v>
      </c>
      <c r="F108">
        <f t="shared" si="9"/>
        <v>57.8</v>
      </c>
      <c r="G108">
        <f t="shared" si="9"/>
        <v>3424.5</v>
      </c>
      <c r="H108">
        <f t="shared" si="9"/>
        <v>82858.5</v>
      </c>
      <c r="I108">
        <f t="shared" si="9"/>
        <v>6986.5</v>
      </c>
      <c r="J108">
        <f t="shared" si="9"/>
        <v>5.55</v>
      </c>
      <c r="K108">
        <f t="shared" si="9"/>
        <v>58774</v>
      </c>
      <c r="L108" s="1" t="s">
        <v>33</v>
      </c>
    </row>
    <row r="109" spans="1:12" x14ac:dyDescent="0.3">
      <c r="A109">
        <f>_xlfn.QUARTILE.EXC(A2:A101,3)</f>
        <v>1999.75</v>
      </c>
      <c r="B109">
        <f t="shared" ref="B109:K109" si="10">_xlfn.QUARTILE.EXC(B2:B101,3)</f>
        <v>211371</v>
      </c>
      <c r="C109">
        <f t="shared" si="10"/>
        <v>141779.25</v>
      </c>
      <c r="D109">
        <f t="shared" si="10"/>
        <v>64.775000000000006</v>
      </c>
      <c r="E109">
        <f t="shared" si="10"/>
        <v>135735.75</v>
      </c>
      <c r="F109">
        <f t="shared" si="10"/>
        <v>60.375</v>
      </c>
      <c r="G109">
        <f t="shared" si="10"/>
        <v>7051.5</v>
      </c>
      <c r="H109">
        <f t="shared" si="10"/>
        <v>133182.25</v>
      </c>
      <c r="I109">
        <f t="shared" si="10"/>
        <v>9162</v>
      </c>
      <c r="J109">
        <f t="shared" si="10"/>
        <v>7.1</v>
      </c>
      <c r="K109">
        <f t="shared" si="10"/>
        <v>69591.75</v>
      </c>
      <c r="L109" s="1" t="s">
        <v>34</v>
      </c>
    </row>
    <row r="110" spans="1:12" x14ac:dyDescent="0.3">
      <c r="A110">
        <f>_xlfn.PERCENTILE.EXC(A2:A101,0.1)</f>
        <v>1934.1</v>
      </c>
      <c r="B110">
        <f t="shared" ref="B110:K110" si="11">_xlfn.PERCENTILE.EXC(B2:B101,0.1)</f>
        <v>94394.3</v>
      </c>
      <c r="C110">
        <f t="shared" si="11"/>
        <v>52914.6</v>
      </c>
      <c r="D110">
        <f t="shared" si="11"/>
        <v>54.83</v>
      </c>
      <c r="E110">
        <f t="shared" si="11"/>
        <v>47955.5</v>
      </c>
      <c r="F110">
        <f t="shared" si="11"/>
        <v>48.24</v>
      </c>
      <c r="G110">
        <f t="shared" si="11"/>
        <v>2232.5</v>
      </c>
      <c r="H110">
        <f t="shared" si="11"/>
        <v>43252.9</v>
      </c>
      <c r="I110">
        <f t="shared" si="11"/>
        <v>2386.4000000000005</v>
      </c>
      <c r="J110">
        <f t="shared" si="11"/>
        <v>3.6100000000000003</v>
      </c>
      <c r="K110">
        <f t="shared" si="11"/>
        <v>42262.6</v>
      </c>
      <c r="L110" s="1" t="s">
        <v>35</v>
      </c>
    </row>
    <row r="111" spans="1:12" x14ac:dyDescent="0.3">
      <c r="A111">
        <f>_xlfn.PERCENTILE.EXC(A2:A101,0.2)</f>
        <v>1944.2</v>
      </c>
      <c r="B111">
        <f t="shared" ref="B111:K111" si="12">_xlfn.PERCENTILE.EXC(B2:B101,0.2)</f>
        <v>98896.8</v>
      </c>
      <c r="C111">
        <f t="shared" si="12"/>
        <v>56010</v>
      </c>
      <c r="D111">
        <f t="shared" si="12"/>
        <v>57.42</v>
      </c>
      <c r="E111">
        <f t="shared" si="12"/>
        <v>54062</v>
      </c>
      <c r="F111">
        <f t="shared" si="12"/>
        <v>55.4</v>
      </c>
      <c r="G111">
        <f t="shared" si="12"/>
        <v>2363.6000000000004</v>
      </c>
      <c r="H111">
        <f t="shared" si="12"/>
        <v>47044.400000000009</v>
      </c>
      <c r="I111">
        <f t="shared" si="12"/>
        <v>3399.2000000000003</v>
      </c>
      <c r="J111">
        <f t="shared" si="12"/>
        <v>4.12</v>
      </c>
      <c r="K111">
        <f t="shared" si="12"/>
        <v>42629.599999999999</v>
      </c>
      <c r="L111" s="1" t="s">
        <v>36</v>
      </c>
    </row>
    <row r="112" spans="1:12" x14ac:dyDescent="0.3">
      <c r="A112">
        <f>_xlfn.PERCENTILE.EXC(A2:A101,0.3)</f>
        <v>1954.3</v>
      </c>
      <c r="B112">
        <f t="shared" ref="B112:K112" si="13">_xlfn.PERCENTILE.EXC(B2:B101,0.3)</f>
        <v>108729.59999999999</v>
      </c>
      <c r="C112">
        <f t="shared" si="13"/>
        <v>64056.999999999993</v>
      </c>
      <c r="D112">
        <f t="shared" si="13"/>
        <v>58.9</v>
      </c>
      <c r="E112">
        <f t="shared" si="13"/>
        <v>61476.299999999996</v>
      </c>
      <c r="F112">
        <f t="shared" si="13"/>
        <v>56.1</v>
      </c>
      <c r="G112">
        <f t="shared" si="13"/>
        <v>3185</v>
      </c>
      <c r="H112">
        <f t="shared" si="13"/>
        <v>55159.899999999994</v>
      </c>
      <c r="I112">
        <f t="shared" si="13"/>
        <v>4635.5999999999995</v>
      </c>
      <c r="J112">
        <f t="shared" si="13"/>
        <v>4.7299999999999995</v>
      </c>
      <c r="K112">
        <f t="shared" si="13"/>
        <v>44665.4</v>
      </c>
      <c r="L112" s="1" t="s">
        <v>37</v>
      </c>
    </row>
  </sheetData>
  <phoneticPr fontId="19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4641-66D2-4626-A57A-974C7D67F0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Assignment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</dc:creator>
  <cp:lastModifiedBy>alisterlewis1117@gmail.com</cp:lastModifiedBy>
  <dcterms:created xsi:type="dcterms:W3CDTF">2025-09-17T13:03:48Z</dcterms:created>
  <dcterms:modified xsi:type="dcterms:W3CDTF">2025-09-18T13:39:23Z</dcterms:modified>
</cp:coreProperties>
</file>